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  <sheet name="Orders" sheetId="2" r:id="rId2"/>
    <sheet name="Products" sheetId="3" r:id="rId3"/>
    <sheet name="Expenses" sheetId="4" r:id="rId4"/>
    <sheet name="Customers" sheetId="5" r:id="rId5"/>
    <sheet name="Returns &amp; Refunds" sheetId="6" r:id="rId6"/>
    <sheet name="Monthly Sales" sheetId="7" r:id="rId7"/>
    <sheet name="Dashboard" sheetId="8" r:id="rId8"/>
  </sheets>
  <calcPr calcId="124519" fullCalcOnLoad="1"/>
</workbook>
</file>

<file path=xl/sharedStrings.xml><?xml version="1.0" encoding="utf-8"?>
<sst xmlns="http://schemas.openxmlformats.org/spreadsheetml/2006/main" count="399" uniqueCount="248">
  <si>
    <t>Categories</t>
  </si>
  <si>
    <t>Dresses</t>
  </si>
  <si>
    <t>Tops</t>
  </si>
  <si>
    <t>Bottoms</t>
  </si>
  <si>
    <t>Co-ords</t>
  </si>
  <si>
    <t>Kurtis</t>
  </si>
  <si>
    <t>Sarees</t>
  </si>
  <si>
    <t>Activewear</t>
  </si>
  <si>
    <t>Accessories</t>
  </si>
  <si>
    <t>Suppliers</t>
  </si>
  <si>
    <t>Meesho</t>
  </si>
  <si>
    <t>Local Wholesaler</t>
  </si>
  <si>
    <t>Other</t>
  </si>
  <si>
    <t>Payment Status</t>
  </si>
  <si>
    <t>Paid</t>
  </si>
  <si>
    <t>Pending</t>
  </si>
  <si>
    <t>Refunded</t>
  </si>
  <si>
    <t>Order Status</t>
  </si>
  <si>
    <t>Shipped</t>
  </si>
  <si>
    <t>Delivered</t>
  </si>
  <si>
    <t>Cancelled</t>
  </si>
  <si>
    <t>Payment Methods</t>
  </si>
  <si>
    <t>UPI</t>
  </si>
  <si>
    <t>Cash on Delivery</t>
  </si>
  <si>
    <t>Bank Transfer</t>
  </si>
  <si>
    <t>Card</t>
  </si>
  <si>
    <t>Wallet</t>
  </si>
  <si>
    <t>Product Status</t>
  </si>
  <si>
    <t>Active</t>
  </si>
  <si>
    <t>Inactive</t>
  </si>
  <si>
    <t>Return Status</t>
  </si>
  <si>
    <t>Requested</t>
  </si>
  <si>
    <t>Approved</t>
  </si>
  <si>
    <t>Received</t>
  </si>
  <si>
    <t>Rejected</t>
  </si>
  <si>
    <t>Orders</t>
  </si>
  <si>
    <t>Enter one order per row. Blue/green/yellow/red status fills make follow-up easy. Profit = Selling Price - Supplier Price - Shipping Cost.</t>
  </si>
  <si>
    <t>Order ID</t>
  </si>
  <si>
    <t>Date</t>
  </si>
  <si>
    <t>Customer Name</t>
  </si>
  <si>
    <t>Phone Number</t>
  </si>
  <si>
    <t>Instagram Username</t>
  </si>
  <si>
    <t>City</t>
  </si>
  <si>
    <t>State</t>
  </si>
  <si>
    <t>Pincode</t>
  </si>
  <si>
    <t>Product Name</t>
  </si>
  <si>
    <t>Category</t>
  </si>
  <si>
    <t>Size</t>
  </si>
  <si>
    <t>Color</t>
  </si>
  <si>
    <t>Supplier (Meesho)</t>
  </si>
  <si>
    <t>Supplier Price</t>
  </si>
  <si>
    <t>Selling Price</t>
  </si>
  <si>
    <t>Shipping Cost</t>
  </si>
  <si>
    <t>Payment Method</t>
  </si>
  <si>
    <t>Tracking Number</t>
  </si>
  <si>
    <t>Delivery Date</t>
  </si>
  <si>
    <t>Profit</t>
  </si>
  <si>
    <t>Notes</t>
  </si>
  <si>
    <t>ORD-1001</t>
  </si>
  <si>
    <t>Aaravya Singh</t>
  </si>
  <si>
    <t>9876543210</t>
  </si>
  <si>
    <t>@aaravya.style</t>
  </si>
  <si>
    <t>Mumbai</t>
  </si>
  <si>
    <t>Maharashtra</t>
  </si>
  <si>
    <t>400001</t>
  </si>
  <si>
    <t>Floral Wrap Dress</t>
  </si>
  <si>
    <t>M</t>
  </si>
  <si>
    <t>Pink</t>
  </si>
  <si>
    <t>TRK-MH-001</t>
  </si>
  <si>
    <t>Repeat buyer</t>
  </si>
  <si>
    <t>ORD-1002</t>
  </si>
  <si>
    <t>Diya Sharma</t>
  </si>
  <si>
    <t>9876543211</t>
  </si>
  <si>
    <t>@diyasharma</t>
  </si>
  <si>
    <t>Pune</t>
  </si>
  <si>
    <t>411001</t>
  </si>
  <si>
    <t>Ribbed Knit Top</t>
  </si>
  <si>
    <t>S</t>
  </si>
  <si>
    <t>Black</t>
  </si>
  <si>
    <t>Confirm size before shipping</t>
  </si>
  <si>
    <t>ORD-1003</t>
  </si>
  <si>
    <t>Meera Patel</t>
  </si>
  <si>
    <t>9876543212</t>
  </si>
  <si>
    <t>@meerawears</t>
  </si>
  <si>
    <t>Ahmedabad</t>
  </si>
  <si>
    <t>Gujarat</t>
  </si>
  <si>
    <t>380001</t>
  </si>
  <si>
    <t>Wide Leg Trousers</t>
  </si>
  <si>
    <t>L</t>
  </si>
  <si>
    <t>Beige</t>
  </si>
  <si>
    <t>TRK-GJ-003</t>
  </si>
  <si>
    <t>ORD-1004</t>
  </si>
  <si>
    <t>Kavya Nair</t>
  </si>
  <si>
    <t>9876543213</t>
  </si>
  <si>
    <t>@kavya.nair</t>
  </si>
  <si>
    <t>Kochi</t>
  </si>
  <si>
    <t>Kerala</t>
  </si>
  <si>
    <t>682001</t>
  </si>
  <si>
    <t>Cotton Co-ord Set</t>
  </si>
  <si>
    <t>Sage</t>
  </si>
  <si>
    <t>TRK-KL-004</t>
  </si>
  <si>
    <t>ORD-1005</t>
  </si>
  <si>
    <t>Riya Gupta</t>
  </si>
  <si>
    <t>9876543214</t>
  </si>
  <si>
    <t>@riya.g</t>
  </si>
  <si>
    <t>Delhi</t>
  </si>
  <si>
    <t>110001</t>
  </si>
  <si>
    <t>Printed Anarkali Kurti</t>
  </si>
  <si>
    <t>XL</t>
  </si>
  <si>
    <t>Blue</t>
  </si>
  <si>
    <t>TRK-DL-005</t>
  </si>
  <si>
    <t>ORD-1006</t>
  </si>
  <si>
    <t>Nisha Verma</t>
  </si>
  <si>
    <t>9876543215</t>
  </si>
  <si>
    <t>@nishav</t>
  </si>
  <si>
    <t>Jaipur</t>
  </si>
  <si>
    <t>Rajasthan</t>
  </si>
  <si>
    <t>302001</t>
  </si>
  <si>
    <t>Satin Party Dress</t>
  </si>
  <si>
    <t>Maroon</t>
  </si>
  <si>
    <t>Customer cancelled</t>
  </si>
  <si>
    <t>ORD-1007</t>
  </si>
  <si>
    <t>Linen Shirt Dress</t>
  </si>
  <si>
    <t>White</t>
  </si>
  <si>
    <t>TRK-MH-007</t>
  </si>
  <si>
    <t>Repeat customer</t>
  </si>
  <si>
    <t>ORD-1008</t>
  </si>
  <si>
    <t>Ananya Rao</t>
  </si>
  <si>
    <t>9876543216</t>
  </si>
  <si>
    <t>@ananyarao</t>
  </si>
  <si>
    <t>Bengaluru</t>
  </si>
  <si>
    <t>Karnataka</t>
  </si>
  <si>
    <t>560001</t>
  </si>
  <si>
    <t>Yoga Leggings</t>
  </si>
  <si>
    <t>Olive</t>
  </si>
  <si>
    <t>TRK-KA-008</t>
  </si>
  <si>
    <t>ORD-1009</t>
  </si>
  <si>
    <t>Sana Khan</t>
  </si>
  <si>
    <t>9876543217</t>
  </si>
  <si>
    <t>@sana.khan</t>
  </si>
  <si>
    <t>Lucknow</t>
  </si>
  <si>
    <t>Uttar Pradesh</t>
  </si>
  <si>
    <t>226001</t>
  </si>
  <si>
    <t>Chiffon Saree</t>
  </si>
  <si>
    <t>Free</t>
  </si>
  <si>
    <t>Lavender</t>
  </si>
  <si>
    <t>TRK-UP-009</t>
  </si>
  <si>
    <t>ORD-1010</t>
  </si>
  <si>
    <t>Pooja Iyer</t>
  </si>
  <si>
    <t>9876543218</t>
  </si>
  <si>
    <t>@pooja.iyer</t>
  </si>
  <si>
    <t>Chennai</t>
  </si>
  <si>
    <t>Tamil Nadu</t>
  </si>
  <si>
    <t>600001</t>
  </si>
  <si>
    <t>Basic Cotton Tee</t>
  </si>
  <si>
    <t>TRK-TN-010</t>
  </si>
  <si>
    <t>ORD-1011</t>
  </si>
  <si>
    <t>Tara Joshi</t>
  </si>
  <si>
    <t>9876543219</t>
  </si>
  <si>
    <t>@tarajoshi</t>
  </si>
  <si>
    <t>Nashik</t>
  </si>
  <si>
    <t>422001</t>
  </si>
  <si>
    <t>Pleated Palazzo Pants</t>
  </si>
  <si>
    <t>Navy</t>
  </si>
  <si>
    <t>ORD-1012</t>
  </si>
  <si>
    <t>Kritika Sen</t>
  </si>
  <si>
    <t>9876543220</t>
  </si>
  <si>
    <t>@kritikasen</t>
  </si>
  <si>
    <t>Kolkata</t>
  </si>
  <si>
    <t>West Bengal</t>
  </si>
  <si>
    <t>700001</t>
  </si>
  <si>
    <t>Embroidered Kurti</t>
  </si>
  <si>
    <t>Peach</t>
  </si>
  <si>
    <t>TRK-WB-012</t>
  </si>
  <si>
    <t>Products</t>
  </si>
  <si>
    <t>Maintain your catalog here. Add new products below the sample rows; Profit calculates automatically.</t>
  </si>
  <si>
    <t>Product ID</t>
  </si>
  <si>
    <t>Supplier</t>
  </si>
  <si>
    <t>Supplier Link</t>
  </si>
  <si>
    <t>Supplier Cost</t>
  </si>
  <si>
    <t>Available Sizes</t>
  </si>
  <si>
    <t>Available Colors</t>
  </si>
  <si>
    <t>Fabric</t>
  </si>
  <si>
    <t>Product Status (Active/Inactive)</t>
  </si>
  <si>
    <t>P-001</t>
  </si>
  <si>
    <t>https://www.meesho.com/</t>
  </si>
  <si>
    <t>S, M, L, XL</t>
  </si>
  <si>
    <t>Pink, Blue</t>
  </si>
  <si>
    <t>Rayon</t>
  </si>
  <si>
    <t>P-002</t>
  </si>
  <si>
    <t>S, M, L</t>
  </si>
  <si>
    <t>Black, White, Beige</t>
  </si>
  <si>
    <t>Cotton Blend</t>
  </si>
  <si>
    <t>P-003</t>
  </si>
  <si>
    <t>M, L, XL</t>
  </si>
  <si>
    <t>Beige, Black</t>
  </si>
  <si>
    <t>Polyester</t>
  </si>
  <si>
    <t>P-004</t>
  </si>
  <si>
    <t>Sage, Cream</t>
  </si>
  <si>
    <t>Cotton</t>
  </si>
  <si>
    <t>P-005</t>
  </si>
  <si>
    <t>Maroon, Navy</t>
  </si>
  <si>
    <t>Satin</t>
  </si>
  <si>
    <t>Expenses</t>
  </si>
  <si>
    <t>Track business costs outside individual order shipping. Total Expenses below updates automatically.</t>
  </si>
  <si>
    <t>Expense Category</t>
  </si>
  <si>
    <t>Description</t>
  </si>
  <si>
    <t>Amount</t>
  </si>
  <si>
    <t>Marketing</t>
  </si>
  <si>
    <t>Instagram boosted post</t>
  </si>
  <si>
    <t>Packaging</t>
  </si>
  <si>
    <t>Courier bags and thank-you cards</t>
  </si>
  <si>
    <t>Tools</t>
  </si>
  <si>
    <t>Order tracking app</t>
  </si>
  <si>
    <t>Influencer sample delivery</t>
  </si>
  <si>
    <t>Phone and data recharge</t>
  </si>
  <si>
    <t>Total Expenses</t>
  </si>
  <si>
    <t>Customers</t>
  </si>
  <si>
    <t>Customer metrics are calculated from Orders using the phone number as the matching key.</t>
  </si>
  <si>
    <t>Phone</t>
  </si>
  <si>
    <t>Instagram ID</t>
  </si>
  <si>
    <t>First Order Date</t>
  </si>
  <si>
    <t>Last Order Date</t>
  </si>
  <si>
    <t>Total Orders</t>
  </si>
  <si>
    <t>Total Spent</t>
  </si>
  <si>
    <t>Total Profit</t>
  </si>
  <si>
    <t>Repeat Customer (Yes/No)</t>
  </si>
  <si>
    <t>Returns &amp; Refunds</t>
  </si>
  <si>
    <t>Record returns separately so refund exposure is visible without changing the original order history.</t>
  </si>
  <si>
    <t>Monthly Sales</t>
  </si>
  <si>
    <t>This summary uses order dates. Net Profit = order profit - business expenses; refunds are shown on the Returns &amp; Refunds sheet.</t>
  </si>
  <si>
    <t>Month</t>
  </si>
  <si>
    <t>Revenue</t>
  </si>
  <si>
    <t>Cost</t>
  </si>
  <si>
    <t>Net Profit</t>
  </si>
  <si>
    <t>Women's Clothing Reselling Dashboard</t>
  </si>
  <si>
    <t>Use Orders, Products and Expenses as your main input sheets. All KPI cards and charts update automatically.</t>
  </si>
  <si>
    <t>Total Revenue</t>
  </si>
  <si>
    <t>Total Cost</t>
  </si>
  <si>
    <t>Pending Orders</t>
  </si>
  <si>
    <t>Delivered Orders</t>
  </si>
  <si>
    <t>Cancelled Orders</t>
  </si>
  <si>
    <t>Average Profit / Order</t>
  </si>
  <si>
    <t>Top Selling Products</t>
  </si>
  <si>
    <t>Product</t>
  </si>
  <si>
    <t>Best Performing Month</t>
  </si>
  <si>
    <t>How To Use</t>
  </si>
  <si>
    <t>1. Add new orders on Orders.  2. Keep catalog prices current on Products.  3. Record overhead on Expenses.  4. Review this dashboard weekly.</t>
  </si>
</sst>
</file>

<file path=xl/styles.xml><?xml version="1.0" encoding="utf-8"?>
<styleSheet xmlns="http://schemas.openxmlformats.org/spreadsheetml/2006/main">
  <numFmts count="4">
    <numFmt numFmtId="164" formatCode="dd-mmm-yyyy"/>
    <numFmt numFmtId="165" formatCode="₹#,##0.00;[Red]-₹#,##0.00"/>
    <numFmt numFmtId="166" formatCode="#,##0"/>
    <numFmt numFmtId="167" formatCode="mmm-yy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6454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C677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36454F"/>
      <name val="Calibri"/>
      <family val="2"/>
      <scheme val="minor"/>
    </font>
    <font>
      <b/>
      <sz val="14"/>
      <color rgb="FF293241"/>
      <name val="Calibri"/>
      <family val="2"/>
      <scheme val="minor"/>
    </font>
    <font>
      <b/>
      <sz val="12"/>
      <color rgb="FF293241"/>
      <name val="Calibri"/>
      <family val="2"/>
      <scheme val="minor"/>
    </font>
    <font>
      <i/>
      <sz val="11"/>
      <color rgb="FF63707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97B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93241"/>
        <bgColor indexed="64"/>
      </patternFill>
    </fill>
    <fill>
      <patternFill patternType="solid">
        <fgColor rgb="FFF4F7F8"/>
        <bgColor indexed="64"/>
      </patternFill>
    </fill>
    <fill>
      <patternFill patternType="solid">
        <fgColor rgb="FFF3F8F6"/>
        <bgColor indexed="64"/>
      </patternFill>
    </fill>
    <fill>
      <patternFill patternType="solid">
        <fgColor rgb="FFDDEDE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 wrapText="1"/>
    </xf>
    <xf numFmtId="164" fontId="2" fillId="0" borderId="0" xfId="0" applyNumberFormat="1" applyFont="1"/>
    <xf numFmtId="165" fontId="2" fillId="0" borderId="0" xfId="0" applyNumberFormat="1" applyFont="1"/>
    <xf numFmtId="165" fontId="2" fillId="6" borderId="0" xfId="0" applyNumberFormat="1" applyFont="1" applyFill="1"/>
    <xf numFmtId="0" fontId="5" fillId="0" borderId="0" xfId="1" applyAlignment="1" applyProtection="1"/>
    <xf numFmtId="0" fontId="6" fillId="5" borderId="0" xfId="0" applyFont="1" applyFill="1"/>
    <xf numFmtId="165" fontId="7" fillId="7" borderId="0" xfId="0" applyNumberFormat="1" applyFont="1" applyFill="1"/>
    <xf numFmtId="166" fontId="2" fillId="6" borderId="0" xfId="0" applyNumberFormat="1" applyFont="1" applyFill="1"/>
    <xf numFmtId="167" fontId="2" fillId="0" borderId="0" xfId="0" applyNumberFormat="1" applyFont="1"/>
    <xf numFmtId="166" fontId="7" fillId="7" borderId="0" xfId="0" applyNumberFormat="1" applyFont="1" applyFill="1"/>
    <xf numFmtId="0" fontId="8" fillId="7" borderId="0" xfId="0" applyFont="1" applyFill="1"/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9">
    <dxf>
      <font>
        <color rgb="FF36454F"/>
      </font>
      <numFmt numFmtId="164" formatCode="dd-mmm-yyyy"/>
    </dxf>
    <dxf>
      <font>
        <color rgb="FF36454F"/>
      </font>
      <numFmt numFmtId="165" formatCode="₹#,##0.00;[Red]-₹#,##0.00"/>
    </dxf>
    <dxf>
      <font>
        <color rgb="FF36454F"/>
      </font>
      <numFmt numFmtId="165" formatCode="₹#,##0.00;[Red]-₹#,##0.00"/>
      <fill>
        <patternFill>
          <bgColor rgb="FFF3F8F6"/>
        </patternFill>
      </fill>
    </dxf>
    <dxf>
      <font>
        <color rgb="FF36454F"/>
      </font>
      <fill>
        <patternFill>
          <bgColor rgb="FFD9EAD3"/>
        </patternFill>
      </fill>
    </dxf>
    <dxf>
      <font>
        <color rgb="FF36454F"/>
      </font>
      <fill>
        <patternFill>
          <bgColor rgb="FFFFF2CC"/>
        </patternFill>
      </fill>
    </dxf>
    <dxf>
      <font>
        <color rgb="FF36454F"/>
      </font>
      <fill>
        <patternFill>
          <bgColor rgb="FFDDEBF7"/>
        </patternFill>
      </fill>
    </dxf>
    <dxf>
      <font>
        <color rgb="FF36454F"/>
      </font>
      <fill>
        <patternFill>
          <bgColor rgb="FFF4CCCC"/>
        </patternFill>
      </fill>
    </dxf>
    <dxf>
      <font>
        <color rgb="FF36454F"/>
      </font>
      <numFmt numFmtId="166" formatCode="#,##0"/>
      <fill>
        <patternFill>
          <bgColor rgb="FFF3F8F6"/>
        </patternFill>
      </fill>
    </dxf>
    <dxf>
      <font>
        <color rgb="FF36454F"/>
      </font>
      <numFmt numFmtId="167" formatCode="mmm-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5B9A9A"/>
            </a:solidFill>
            <a:ln>
              <a:noFill/>
            </a:ln>
          </c:spPr>
          <c:cat>
            <c:numRef>
              <c:f>'Monthly Sales'!$A$5:$A$16</c:f>
              <c:numCache>
                <c:formatCode>General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Sales'!$C$5:$C$16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₹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Profit</c:v>
          </c:tx>
          <c:spPr>
            <a:ln w="31750">
              <a:solidFill>
                <a:srgbClr val="397B7B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397B7B"/>
                </a:solidFill>
              </a:ln>
            </c:spPr>
          </c:marker>
          <c:cat>
            <c:numRef>
              <c:f>'Monthly Sales'!$A$5:$A$16</c:f>
              <c:numCache>
                <c:formatCode>General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Sales'!$E$5:$E$16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numFmt formatCode="₹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10</xdr:col>
      <xdr:colOff>762000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10</xdr:col>
      <xdr:colOff>762000</xdr:colOff>
      <xdr:row>37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Table" displayName="OrdersTable" ref="A4:W104" totalsRowShown="0">
  <autoFilter ref="A4:W104"/>
  <tableColumns count="23">
    <tableColumn id="1" name="Order ID"/>
    <tableColumn id="2" name="Date" dataDxfId="0"/>
    <tableColumn id="3" name="Customer Name"/>
    <tableColumn id="4" name="Phone Number"/>
    <tableColumn id="5" name="Instagram Username"/>
    <tableColumn id="6" name="City"/>
    <tableColumn id="7" name="State"/>
    <tableColumn id="8" name="Pincode"/>
    <tableColumn id="9" name="Product Name"/>
    <tableColumn id="10" name="Category"/>
    <tableColumn id="11" name="Size"/>
    <tableColumn id="12" name="Color"/>
    <tableColumn id="13" name="Supplier (Meesho)"/>
    <tableColumn id="14" name="Supplier Price" dataDxfId="1"/>
    <tableColumn id="15" name="Selling Price" dataDxfId="1"/>
    <tableColumn id="16" name="Shipping Cost" dataDxfId="1"/>
    <tableColumn id="17" name="Payment Method"/>
    <tableColumn id="18" name="Payment Status"/>
    <tableColumn id="19" name="Order Status"/>
    <tableColumn id="20" name="Tracking Number"/>
    <tableColumn id="21" name="Delivery Date" dataDxfId="0"/>
    <tableColumn id="22" name="Profit" dataDxfId="2">
      <calculatedColumnFormula>[[#This Row],[Selling Price]]-[[#This Row],[Supplier Price]]-[[#This Row],[Shipping Cost]]</calculatedColumnFormula>
    </tableColumn>
    <tableColumn id="23" name="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ProductsTable" displayName="ProductsTable" ref="A4:L104" totalsRowShown="0">
  <autoFilter ref="A4:L104"/>
  <tableColumns count="12">
    <tableColumn id="1" name="Product ID"/>
    <tableColumn id="2" name="Product Name"/>
    <tableColumn id="3" name="Category"/>
    <tableColumn id="4" name="Supplier"/>
    <tableColumn id="5" name="Supplier Link"/>
    <tableColumn id="6" name="Supplier Cost" dataDxfId="1"/>
    <tableColumn id="7" name="Selling Price" dataDxfId="1"/>
    <tableColumn id="8" name="Profit" dataDxfId="2">
      <calculatedColumnFormula>[[#This Row],[Selling Price]]-[[#This Row],[Supplier Cost]]</calculatedColumnFormula>
    </tableColumn>
    <tableColumn id="9" name="Available Sizes"/>
    <tableColumn id="10" name="Available Colors"/>
    <tableColumn id="11" name="Fabric"/>
    <tableColumn id="12" name="Product Status (Active/Inactive)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ExpensesTable" displayName="ExpensesTable" ref="A4:E104" totalsRowShown="0">
  <autoFilter ref="A4:E104"/>
  <tableColumns count="5">
    <tableColumn id="1" name="Date" dataDxfId="0"/>
    <tableColumn id="2" name="Expense Category"/>
    <tableColumn id="3" name="Description"/>
    <tableColumn id="4" name="Amount" dataDxfId="1"/>
    <tableColumn id="5" name="Payment Method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CustomersTable" displayName="CustomersTable" ref="A4:I104" totalsRowShown="0">
  <autoFilter ref="A4:I104"/>
  <tableColumns count="9">
    <tableColumn id="1" name="Customer Name"/>
    <tableColumn id="2" name="Phone"/>
    <tableColumn id="3" name="Instagram ID"/>
    <tableColumn id="4" name="First Order Date" dataDxfId="0">
      <calculatedColumnFormula>IFERROR(_xlfn.MINIFS(OrdersTable[Date],OrdersTable[Phone Number],[[#This Row],Phone]),"")</calculatedColumnFormula>
    </tableColumn>
    <tableColumn id="5" name="Last Order Date" dataDxfId="0">
      <calculatedColumnFormula>IFERROR(_xlfn.MAXIFS(OrdersTable[Date],OrdersTable[Phone Number],[[#This Row],Phone]),"")</calculatedColumnFormula>
    </tableColumn>
    <tableColumn id="6" name="Total Orders" dataDxfId="7">
      <calculatedColumnFormula>COUNTIF(OrdersTable[Phone Number],[[#This Row],Phone])</calculatedColumnFormula>
    </tableColumn>
    <tableColumn id="7" name="Total Spent" dataDxfId="1">
      <calculatedColumnFormula>SUMIF(OrdersTable[Phone Number],[[#This Row],Phone],OrdersTable[Selling Price])</calculatedColumnFormula>
    </tableColumn>
    <tableColumn id="8" name="Total Profit" dataDxfId="1">
      <calculatedColumnFormula>SUMIF(OrdersTable[Phone Number],[[#This Row],Phone],OrdersTable[Profit])</calculatedColumnFormula>
    </tableColumn>
    <tableColumn id="9" name="Repeat Customer (Yes/No)">
      <calculatedColumnFormula>IF([[#This Row],[Total Orders]]&gt;1,"Yes","No")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MonthlySalesTable" displayName="MonthlySalesTable" ref="A4:G104" totalsRowShown="0">
  <autoFilter ref="A4:G104"/>
  <tableColumns count="7">
    <tableColumn id="1" name="Month" dataDxfId="8"/>
    <tableColumn id="2" name="Orders" dataDxfId="7">
      <calculatedColumnFormula>COUNTIFS(OrdersTable[Date],"&gt;="&amp;[[#This Row],Month],OrdersTable[Date],"&lt;"&amp;EDATE([[#This Row],Month],1))</calculatedColumnFormula>
    </tableColumn>
    <tableColumn id="3" name="Revenue" dataDxfId="1">
      <calculatedColumnFormula>SUMIFS(OrdersTable[Selling Price],OrdersTable[Date],"&gt;="&amp;[[#This Row],Month],OrdersTable[Date],"&lt;"&amp;EDATE([[#This Row],Month],1))</calculatedColumnFormula>
    </tableColumn>
    <tableColumn id="4" name="Cost" dataDxfId="1">
      <calculatedColumnFormula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calculatedColumnFormula>
    </tableColumn>
    <tableColumn id="5" name="Profit" dataDxfId="1">
      <calculatedColumnFormula>SUMIFS(OrdersTable[Profit],OrdersTable[Date],"&gt;="&amp;[[#This Row],Month],OrdersTable[Date],"&lt;"&amp;EDATE([[#This Row],Month],1))</calculatedColumnFormula>
    </tableColumn>
    <tableColumn id="6" name="Expenses" dataDxfId="1">
      <calculatedColumnFormula>SUMIFS(ExpensesTable[Amount],ExpensesTable[Date],"&gt;="&amp;[[#This Row],Month],ExpensesTable[Date],"&lt;"&amp;EDATE([[#This Row],Month],1))</calculatedColumnFormula>
    </tableColumn>
    <tableColumn id="7" name="Net Profit" dataDxfId="1">
      <calculatedColumnFormula>[[#This Row],Profit]-[[#This Row],Expenses]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esho.com/" TargetMode="External"/><Relationship Id="rId2" Type="http://schemas.openxmlformats.org/officeDocument/2006/relationships/hyperlink" Target="https://www.meesho.com/" TargetMode="External"/><Relationship Id="rId3" Type="http://schemas.openxmlformats.org/officeDocument/2006/relationships/hyperlink" Target="https://www.meesho.com/" TargetMode="External"/><Relationship Id="rId4" Type="http://schemas.openxmlformats.org/officeDocument/2006/relationships/hyperlink" Target="https://www.meesho.com/" TargetMode="External"/><Relationship Id="rId5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9</v>
      </c>
      <c r="C1" s="1" t="s">
        <v>13</v>
      </c>
      <c r="D1" s="1" t="s">
        <v>17</v>
      </c>
      <c r="E1" s="1" t="s">
        <v>21</v>
      </c>
      <c r="F1" s="1" t="s">
        <v>27</v>
      </c>
      <c r="G1" s="1" t="s">
        <v>30</v>
      </c>
    </row>
    <row r="2" spans="1:7">
      <c r="A2" s="2" t="s">
        <v>1</v>
      </c>
      <c r="B2" s="2" t="s">
        <v>10</v>
      </c>
      <c r="C2" s="2" t="s">
        <v>14</v>
      </c>
      <c r="D2" s="2" t="s">
        <v>15</v>
      </c>
      <c r="E2" s="2" t="s">
        <v>22</v>
      </c>
      <c r="F2" s="2" t="s">
        <v>28</v>
      </c>
      <c r="G2" s="2" t="s">
        <v>31</v>
      </c>
    </row>
    <row r="3" spans="1:7">
      <c r="A3" s="2" t="s">
        <v>2</v>
      </c>
      <c r="B3" s="2" t="s">
        <v>11</v>
      </c>
      <c r="C3" s="2" t="s">
        <v>15</v>
      </c>
      <c r="D3" s="2" t="s">
        <v>18</v>
      </c>
      <c r="E3" s="2" t="s">
        <v>23</v>
      </c>
      <c r="F3" s="2" t="s">
        <v>29</v>
      </c>
      <c r="G3" s="2" t="s">
        <v>32</v>
      </c>
    </row>
    <row r="4" spans="1:7">
      <c r="A4" s="2" t="s">
        <v>3</v>
      </c>
      <c r="B4" s="2" t="s">
        <v>12</v>
      </c>
      <c r="C4" s="2" t="s">
        <v>16</v>
      </c>
      <c r="D4" s="2" t="s">
        <v>19</v>
      </c>
      <c r="E4" s="2" t="s">
        <v>24</v>
      </c>
      <c r="G4" s="2" t="s">
        <v>33</v>
      </c>
    </row>
    <row r="5" spans="1:7">
      <c r="A5" s="2" t="s">
        <v>4</v>
      </c>
      <c r="D5" s="2" t="s">
        <v>20</v>
      </c>
      <c r="E5" s="2" t="s">
        <v>25</v>
      </c>
      <c r="G5" s="2" t="s">
        <v>16</v>
      </c>
    </row>
    <row r="6" spans="1:7">
      <c r="A6" s="2" t="s">
        <v>5</v>
      </c>
      <c r="E6" s="2" t="s">
        <v>26</v>
      </c>
      <c r="G6" s="2" t="s">
        <v>34</v>
      </c>
    </row>
    <row r="7" spans="1:7">
      <c r="A7" s="2" t="s">
        <v>6</v>
      </c>
    </row>
    <row r="8" spans="1:7">
      <c r="A8" s="2" t="s">
        <v>7</v>
      </c>
    </row>
    <row r="9" spans="1:7">
      <c r="A9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A9A"/>
  </sheetPr>
  <dimension ref="A1:W104"/>
  <sheetViews>
    <sheetView showGridLines="0" workbookViewId="0">
      <pane ySplit="4" topLeftCell="A5" activePane="bottomLeft" state="frozen"/>
      <selection pane="bottomLeft"/>
    </sheetView>
  </sheetViews>
  <sheetFormatPr defaultRowHeight="20" customHeight="1"/>
  <cols>
    <col min="1" max="1" width="14.7109375" customWidth="1"/>
    <col min="2" max="2" width="13.7109375" customWidth="1"/>
    <col min="3" max="3" width="20.7109375" customWidth="1"/>
    <col min="4" max="4" width="15.7109375" customWidth="1"/>
    <col min="5" max="5" width="20.7109375" customWidth="1"/>
    <col min="6" max="6" width="14.7109375" customWidth="1"/>
    <col min="7" max="7" width="18.7109375" customWidth="1"/>
    <col min="8" max="8" width="10.7109375" customWidth="1"/>
    <col min="9" max="9" width="24.7109375" customWidth="1"/>
    <col min="10" max="10" width="14.7109375" customWidth="1"/>
    <col min="11" max="11" width="10.7109375" customWidth="1"/>
    <col min="12" max="12" width="14.7109375" customWidth="1"/>
    <col min="13" max="13" width="18.7109375" customWidth="1"/>
    <col min="14" max="15" width="14.7109375" customWidth="1"/>
    <col min="16" max="16" width="13.7109375" customWidth="1"/>
    <col min="17" max="17" width="18.7109375" customWidth="1"/>
    <col min="18" max="19" width="15.7109375" customWidth="1"/>
    <col min="20" max="20" width="18.7109375" customWidth="1"/>
    <col min="21" max="22" width="14.7109375" customWidth="1"/>
    <col min="23" max="23" width="27.7109375" customWidth="1"/>
  </cols>
  <sheetData>
    <row r="1" spans="1:23" ht="30" customHeight="1">
      <c r="A1" s="3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0" customHeight="1">
      <c r="A2" s="4" t="s">
        <v>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4" spans="1:23" ht="20" customHeight="1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13</v>
      </c>
      <c r="S4" t="s">
        <v>17</v>
      </c>
      <c r="T4" t="s">
        <v>54</v>
      </c>
      <c r="U4" t="s">
        <v>55</v>
      </c>
      <c r="V4" t="s">
        <v>56</v>
      </c>
      <c r="W4" t="s">
        <v>57</v>
      </c>
    </row>
    <row r="5" spans="1:23" ht="20" customHeight="1">
      <c r="A5" t="s">
        <v>58</v>
      </c>
      <c r="B5" s="5">
        <v>46030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1</v>
      </c>
      <c r="K5" t="s">
        <v>66</v>
      </c>
      <c r="L5" t="s">
        <v>67</v>
      </c>
      <c r="M5" t="s">
        <v>10</v>
      </c>
      <c r="N5" s="6">
        <v>650</v>
      </c>
      <c r="O5" s="6">
        <v>1199</v>
      </c>
      <c r="P5" s="6">
        <v>80</v>
      </c>
      <c r="Q5" t="s">
        <v>22</v>
      </c>
      <c r="R5" t="s">
        <v>14</v>
      </c>
      <c r="S5" t="s">
        <v>19</v>
      </c>
      <c r="T5" t="s">
        <v>68</v>
      </c>
      <c r="U5" s="5">
        <v>46036</v>
      </c>
      <c r="V5" s="7">
        <f>[[#This Row],[Selling Price]]-[[#This Row],[Supplier Price]]-[[#This Row],[Shipping Cost]]</f>
        <v>0</v>
      </c>
      <c r="W5" t="s">
        <v>69</v>
      </c>
    </row>
    <row r="6" spans="1:23" ht="20" customHeight="1">
      <c r="A6" t="s">
        <v>70</v>
      </c>
      <c r="B6" s="5">
        <v>46043</v>
      </c>
      <c r="C6" t="s">
        <v>71</v>
      </c>
      <c r="D6" t="s">
        <v>72</v>
      </c>
      <c r="E6" t="s">
        <v>73</v>
      </c>
      <c r="F6" t="s">
        <v>74</v>
      </c>
      <c r="G6" t="s">
        <v>63</v>
      </c>
      <c r="H6" t="s">
        <v>75</v>
      </c>
      <c r="I6" t="s">
        <v>76</v>
      </c>
      <c r="J6" t="s">
        <v>2</v>
      </c>
      <c r="K6" t="s">
        <v>77</v>
      </c>
      <c r="L6" t="s">
        <v>78</v>
      </c>
      <c r="M6" t="s">
        <v>10</v>
      </c>
      <c r="N6" s="6">
        <v>350</v>
      </c>
      <c r="O6" s="6">
        <v>799</v>
      </c>
      <c r="P6" s="6">
        <v>70</v>
      </c>
      <c r="Q6" t="s">
        <v>23</v>
      </c>
      <c r="R6" t="s">
        <v>15</v>
      </c>
      <c r="S6" t="s">
        <v>15</v>
      </c>
      <c r="U6" s="5"/>
      <c r="V6" s="7">
        <f>[[#This Row],[Selling Price]]-[[#This Row],[Supplier Price]]-[[#This Row],[Shipping Cost]]</f>
        <v>0</v>
      </c>
      <c r="W6" t="s">
        <v>79</v>
      </c>
    </row>
    <row r="7" spans="1:23" ht="20" customHeight="1">
      <c r="A7" t="s">
        <v>80</v>
      </c>
      <c r="B7" s="5">
        <v>46058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3</v>
      </c>
      <c r="K7" t="s">
        <v>88</v>
      </c>
      <c r="L7" t="s">
        <v>89</v>
      </c>
      <c r="M7" t="s">
        <v>10</v>
      </c>
      <c r="N7" s="6">
        <v>550</v>
      </c>
      <c r="O7" s="6">
        <v>1099</v>
      </c>
      <c r="P7" s="6">
        <v>85</v>
      </c>
      <c r="Q7" t="s">
        <v>22</v>
      </c>
      <c r="R7" t="s">
        <v>14</v>
      </c>
      <c r="S7" t="s">
        <v>18</v>
      </c>
      <c r="T7" t="s">
        <v>90</v>
      </c>
      <c r="U7" s="5"/>
      <c r="V7" s="7">
        <f>[[#This Row],[Selling Price]]-[[#This Row],[Supplier Price]]-[[#This Row],[Shipping Cost]]</f>
        <v>0</v>
      </c>
    </row>
    <row r="8" spans="1:23" ht="20" customHeight="1">
      <c r="A8" t="s">
        <v>91</v>
      </c>
      <c r="B8" s="5">
        <v>46071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4</v>
      </c>
      <c r="K8" t="s">
        <v>66</v>
      </c>
      <c r="L8" t="s">
        <v>99</v>
      </c>
      <c r="M8" t="s">
        <v>11</v>
      </c>
      <c r="N8" s="6">
        <v>900</v>
      </c>
      <c r="O8" s="6">
        <v>1599</v>
      </c>
      <c r="P8" s="6">
        <v>95</v>
      </c>
      <c r="Q8" t="s">
        <v>25</v>
      </c>
      <c r="R8" t="s">
        <v>14</v>
      </c>
      <c r="S8" t="s">
        <v>19</v>
      </c>
      <c r="T8" t="s">
        <v>100</v>
      </c>
      <c r="U8" s="5">
        <v>46078</v>
      </c>
      <c r="V8" s="7">
        <f>[[#This Row],[Selling Price]]-[[#This Row],[Supplier Price]]-[[#This Row],[Shipping Cost]]</f>
        <v>0</v>
      </c>
    </row>
    <row r="9" spans="1:23" ht="20" customHeight="1">
      <c r="A9" t="s">
        <v>101</v>
      </c>
      <c r="B9" s="5">
        <v>46083</v>
      </c>
      <c r="C9" t="s">
        <v>102</v>
      </c>
      <c r="D9" t="s">
        <v>103</v>
      </c>
      <c r="E9" t="s">
        <v>104</v>
      </c>
      <c r="F9" t="s">
        <v>105</v>
      </c>
      <c r="G9" t="s">
        <v>105</v>
      </c>
      <c r="H9" t="s">
        <v>106</v>
      </c>
      <c r="I9" t="s">
        <v>107</v>
      </c>
      <c r="J9" t="s">
        <v>5</v>
      </c>
      <c r="K9" t="s">
        <v>108</v>
      </c>
      <c r="L9" t="s">
        <v>109</v>
      </c>
      <c r="M9" t="s">
        <v>10</v>
      </c>
      <c r="N9" s="6">
        <v>480</v>
      </c>
      <c r="O9" s="6">
        <v>999</v>
      </c>
      <c r="P9" s="6">
        <v>75</v>
      </c>
      <c r="Q9" t="s">
        <v>22</v>
      </c>
      <c r="R9" t="s">
        <v>14</v>
      </c>
      <c r="S9" t="s">
        <v>19</v>
      </c>
      <c r="T9" t="s">
        <v>110</v>
      </c>
      <c r="U9" s="5">
        <v>46090</v>
      </c>
      <c r="V9" s="7">
        <f>[[#This Row],[Selling Price]]-[[#This Row],[Supplier Price]]-[[#This Row],[Shipping Cost]]</f>
        <v>0</v>
      </c>
    </row>
    <row r="10" spans="1:23" ht="20" customHeight="1">
      <c r="A10" t="s">
        <v>111</v>
      </c>
      <c r="B10" s="5">
        <v>46100</v>
      </c>
      <c r="C10" t="s">
        <v>112</v>
      </c>
      <c r="D10" t="s">
        <v>113</v>
      </c>
      <c r="E10" t="s">
        <v>114</v>
      </c>
      <c r="F10" t="s">
        <v>115</v>
      </c>
      <c r="G10" t="s">
        <v>116</v>
      </c>
      <c r="H10" t="s">
        <v>117</v>
      </c>
      <c r="I10" t="s">
        <v>118</v>
      </c>
      <c r="J10" t="s">
        <v>1</v>
      </c>
      <c r="K10" t="s">
        <v>77</v>
      </c>
      <c r="L10" t="s">
        <v>119</v>
      </c>
      <c r="M10" t="s">
        <v>10</v>
      </c>
      <c r="N10" s="6">
        <v>720</v>
      </c>
      <c r="O10" s="6">
        <v>1399</v>
      </c>
      <c r="P10" s="6">
        <v>85</v>
      </c>
      <c r="Q10" t="s">
        <v>23</v>
      </c>
      <c r="R10" t="s">
        <v>15</v>
      </c>
      <c r="S10" t="s">
        <v>20</v>
      </c>
      <c r="U10" s="5"/>
      <c r="V10" s="7">
        <f>[[#This Row],[Selling Price]]-[[#This Row],[Supplier Price]]-[[#This Row],[Shipping Cost]]</f>
        <v>0</v>
      </c>
      <c r="W10" t="s">
        <v>120</v>
      </c>
    </row>
    <row r="11" spans="1:23" ht="20" customHeight="1">
      <c r="A11" t="s">
        <v>121</v>
      </c>
      <c r="B11" s="5">
        <v>46119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122</v>
      </c>
      <c r="J11" t="s">
        <v>1</v>
      </c>
      <c r="K11" t="s">
        <v>66</v>
      </c>
      <c r="L11" t="s">
        <v>123</v>
      </c>
      <c r="M11" t="s">
        <v>10</v>
      </c>
      <c r="N11" s="6">
        <v>700</v>
      </c>
      <c r="O11" s="6">
        <v>1299</v>
      </c>
      <c r="P11" s="6">
        <v>80</v>
      </c>
      <c r="Q11" t="s">
        <v>22</v>
      </c>
      <c r="R11" t="s">
        <v>14</v>
      </c>
      <c r="S11" t="s">
        <v>19</v>
      </c>
      <c r="T11" t="s">
        <v>124</v>
      </c>
      <c r="U11" s="5">
        <v>46125</v>
      </c>
      <c r="V11" s="7">
        <f>[[#This Row],[Selling Price]]-[[#This Row],[Supplier Price]]-[[#This Row],[Shipping Cost]]</f>
        <v>0</v>
      </c>
      <c r="W11" t="s">
        <v>125</v>
      </c>
    </row>
    <row r="12" spans="1:23" ht="20" customHeight="1">
      <c r="A12" t="s">
        <v>126</v>
      </c>
      <c r="B12" s="5">
        <v>46135</v>
      </c>
      <c r="C12" t="s">
        <v>127</v>
      </c>
      <c r="D12" t="s">
        <v>128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  <c r="J12" t="s">
        <v>7</v>
      </c>
      <c r="K12" t="s">
        <v>66</v>
      </c>
      <c r="L12" t="s">
        <v>134</v>
      </c>
      <c r="M12" t="s">
        <v>10</v>
      </c>
      <c r="N12" s="6">
        <v>400</v>
      </c>
      <c r="O12" s="6">
        <v>899</v>
      </c>
      <c r="P12" s="6">
        <v>70</v>
      </c>
      <c r="Q12" t="s">
        <v>26</v>
      </c>
      <c r="R12" t="s">
        <v>14</v>
      </c>
      <c r="S12" t="s">
        <v>18</v>
      </c>
      <c r="T12" t="s">
        <v>135</v>
      </c>
      <c r="U12" s="5"/>
      <c r="V12" s="7">
        <f>[[#This Row],[Selling Price]]-[[#This Row],[Supplier Price]]-[[#This Row],[Shipping Cost]]</f>
        <v>0</v>
      </c>
    </row>
    <row r="13" spans="1:23" ht="20" customHeight="1">
      <c r="A13" t="s">
        <v>136</v>
      </c>
      <c r="B13" s="5">
        <v>46153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142</v>
      </c>
      <c r="I13" t="s">
        <v>143</v>
      </c>
      <c r="J13" t="s">
        <v>6</v>
      </c>
      <c r="K13" t="s">
        <v>144</v>
      </c>
      <c r="L13" t="s">
        <v>145</v>
      </c>
      <c r="M13" t="s">
        <v>10</v>
      </c>
      <c r="N13" s="6">
        <v>850</v>
      </c>
      <c r="O13" s="6">
        <v>1499</v>
      </c>
      <c r="P13" s="6">
        <v>90</v>
      </c>
      <c r="Q13" t="s">
        <v>24</v>
      </c>
      <c r="R13" t="s">
        <v>14</v>
      </c>
      <c r="S13" t="s">
        <v>19</v>
      </c>
      <c r="T13" t="s">
        <v>146</v>
      </c>
      <c r="U13" s="5">
        <v>46160</v>
      </c>
      <c r="V13" s="7">
        <f>[[#This Row],[Selling Price]]-[[#This Row],[Supplier Price]]-[[#This Row],[Shipping Cost]]</f>
        <v>0</v>
      </c>
    </row>
    <row r="14" spans="1:23" ht="20" customHeight="1">
      <c r="A14" t="s">
        <v>147</v>
      </c>
      <c r="B14" s="5">
        <v>46168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H14" t="s">
        <v>153</v>
      </c>
      <c r="I14" t="s">
        <v>154</v>
      </c>
      <c r="J14" t="s">
        <v>2</v>
      </c>
      <c r="K14" t="s">
        <v>88</v>
      </c>
      <c r="L14" t="s">
        <v>123</v>
      </c>
      <c r="M14" t="s">
        <v>10</v>
      </c>
      <c r="N14" s="6">
        <v>220</v>
      </c>
      <c r="O14" s="6">
        <v>599</v>
      </c>
      <c r="P14" s="6">
        <v>65</v>
      </c>
      <c r="Q14" t="s">
        <v>22</v>
      </c>
      <c r="R14" t="s">
        <v>14</v>
      </c>
      <c r="S14" t="s">
        <v>19</v>
      </c>
      <c r="T14" t="s">
        <v>155</v>
      </c>
      <c r="U14" s="5">
        <v>46175</v>
      </c>
      <c r="V14" s="7">
        <f>[[#This Row],[Selling Price]]-[[#This Row],[Supplier Price]]-[[#This Row],[Shipping Cost]]</f>
        <v>0</v>
      </c>
    </row>
    <row r="15" spans="1:23" ht="20" customHeight="1">
      <c r="A15" t="s">
        <v>156</v>
      </c>
      <c r="B15" s="5">
        <v>46182</v>
      </c>
      <c r="C15" t="s">
        <v>157</v>
      </c>
      <c r="D15" t="s">
        <v>158</v>
      </c>
      <c r="E15" t="s">
        <v>159</v>
      </c>
      <c r="F15" t="s">
        <v>160</v>
      </c>
      <c r="G15" t="s">
        <v>63</v>
      </c>
      <c r="H15" t="s">
        <v>161</v>
      </c>
      <c r="I15" t="s">
        <v>162</v>
      </c>
      <c r="J15" t="s">
        <v>3</v>
      </c>
      <c r="K15" t="s">
        <v>66</v>
      </c>
      <c r="L15" t="s">
        <v>163</v>
      </c>
      <c r="M15" t="s">
        <v>10</v>
      </c>
      <c r="N15" s="6">
        <v>430</v>
      </c>
      <c r="O15" s="6">
        <v>949</v>
      </c>
      <c r="P15" s="6">
        <v>75</v>
      </c>
      <c r="Q15" t="s">
        <v>23</v>
      </c>
      <c r="R15" t="s">
        <v>15</v>
      </c>
      <c r="S15" t="s">
        <v>15</v>
      </c>
      <c r="U15" s="5"/>
      <c r="V15" s="7">
        <f>[[#This Row],[Selling Price]]-[[#This Row],[Supplier Price]]-[[#This Row],[Shipping Cost]]</f>
        <v>0</v>
      </c>
    </row>
    <row r="16" spans="1:23" ht="20" customHeight="1">
      <c r="A16" t="s">
        <v>164</v>
      </c>
      <c r="B16" s="5">
        <v>46197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170</v>
      </c>
      <c r="I16" t="s">
        <v>171</v>
      </c>
      <c r="J16" t="s">
        <v>5</v>
      </c>
      <c r="K16" t="s">
        <v>88</v>
      </c>
      <c r="L16" t="s">
        <v>172</v>
      </c>
      <c r="M16" t="s">
        <v>11</v>
      </c>
      <c r="N16" s="6">
        <v>600</v>
      </c>
      <c r="O16" s="6">
        <v>1199</v>
      </c>
      <c r="P16" s="6">
        <v>80</v>
      </c>
      <c r="Q16" t="s">
        <v>22</v>
      </c>
      <c r="R16" t="s">
        <v>14</v>
      </c>
      <c r="S16" t="s">
        <v>19</v>
      </c>
      <c r="T16" t="s">
        <v>173</v>
      </c>
      <c r="U16" s="5">
        <v>46204</v>
      </c>
      <c r="V16" s="7">
        <f>[[#This Row],[Selling Price]]-[[#This Row],[Supplier Price]]-[[#This Row],[Shipping Cost]]</f>
        <v>0</v>
      </c>
    </row>
    <row r="17" spans="2:22" ht="20" customHeight="1">
      <c r="B17" s="5"/>
      <c r="N17" s="6"/>
      <c r="O17" s="6"/>
      <c r="P17" s="6"/>
      <c r="U17" s="5"/>
      <c r="V17" s="7">
        <f>[[#This Row],[Selling Price]]-[[#This Row],[Supplier Price]]-[[#This Row],[Shipping Cost]]</f>
        <v>0</v>
      </c>
    </row>
    <row r="18" spans="2:22" ht="20" customHeight="1">
      <c r="B18" s="5"/>
      <c r="N18" s="6"/>
      <c r="O18" s="6"/>
      <c r="P18" s="6"/>
      <c r="U18" s="5"/>
      <c r="V18" s="7">
        <f>[[#This Row],[Selling Price]]-[[#This Row],[Supplier Price]]-[[#This Row],[Shipping Cost]]</f>
        <v>0</v>
      </c>
    </row>
    <row r="19" spans="2:22" ht="20" customHeight="1">
      <c r="B19" s="5"/>
      <c r="N19" s="6"/>
      <c r="O19" s="6"/>
      <c r="P19" s="6"/>
      <c r="U19" s="5"/>
      <c r="V19" s="7">
        <f>[[#This Row],[Selling Price]]-[[#This Row],[Supplier Price]]-[[#This Row],[Shipping Cost]]</f>
        <v>0</v>
      </c>
    </row>
    <row r="20" spans="2:22" ht="20" customHeight="1">
      <c r="B20" s="5"/>
      <c r="N20" s="6"/>
      <c r="O20" s="6"/>
      <c r="P20" s="6"/>
      <c r="U20" s="5"/>
      <c r="V20" s="7">
        <f>[[#This Row],[Selling Price]]-[[#This Row],[Supplier Price]]-[[#This Row],[Shipping Cost]]</f>
        <v>0</v>
      </c>
    </row>
    <row r="21" spans="2:22" ht="20" customHeight="1">
      <c r="B21" s="5"/>
      <c r="N21" s="6"/>
      <c r="O21" s="6"/>
      <c r="P21" s="6"/>
      <c r="U21" s="5"/>
      <c r="V21" s="7">
        <f>[[#This Row],[Selling Price]]-[[#This Row],[Supplier Price]]-[[#This Row],[Shipping Cost]]</f>
        <v>0</v>
      </c>
    </row>
    <row r="22" spans="2:22" ht="20" customHeight="1">
      <c r="B22" s="5"/>
      <c r="N22" s="6"/>
      <c r="O22" s="6"/>
      <c r="P22" s="6"/>
      <c r="U22" s="5"/>
      <c r="V22" s="7">
        <f>[[#This Row],[Selling Price]]-[[#This Row],[Supplier Price]]-[[#This Row],[Shipping Cost]]</f>
        <v>0</v>
      </c>
    </row>
    <row r="23" spans="2:22" ht="20" customHeight="1">
      <c r="B23" s="5"/>
      <c r="N23" s="6"/>
      <c r="O23" s="6"/>
      <c r="P23" s="6"/>
      <c r="U23" s="5"/>
      <c r="V23" s="7">
        <f>[[#This Row],[Selling Price]]-[[#This Row],[Supplier Price]]-[[#This Row],[Shipping Cost]]</f>
        <v>0</v>
      </c>
    </row>
    <row r="24" spans="2:22" ht="20" customHeight="1">
      <c r="B24" s="5"/>
      <c r="N24" s="6"/>
      <c r="O24" s="6"/>
      <c r="P24" s="6"/>
      <c r="U24" s="5"/>
      <c r="V24" s="7">
        <f>[[#This Row],[Selling Price]]-[[#This Row],[Supplier Price]]-[[#This Row],[Shipping Cost]]</f>
        <v>0</v>
      </c>
    </row>
    <row r="25" spans="2:22" ht="20" customHeight="1">
      <c r="B25" s="5"/>
      <c r="N25" s="6"/>
      <c r="O25" s="6"/>
      <c r="P25" s="6"/>
      <c r="U25" s="5"/>
      <c r="V25" s="7">
        <f>[[#This Row],[Selling Price]]-[[#This Row],[Supplier Price]]-[[#This Row],[Shipping Cost]]</f>
        <v>0</v>
      </c>
    </row>
    <row r="26" spans="2:22" ht="20" customHeight="1">
      <c r="B26" s="5"/>
      <c r="N26" s="6"/>
      <c r="O26" s="6"/>
      <c r="P26" s="6"/>
      <c r="U26" s="5"/>
      <c r="V26" s="7">
        <f>[[#This Row],[Selling Price]]-[[#This Row],[Supplier Price]]-[[#This Row],[Shipping Cost]]</f>
        <v>0</v>
      </c>
    </row>
    <row r="27" spans="2:22" ht="20" customHeight="1">
      <c r="B27" s="5"/>
      <c r="N27" s="6"/>
      <c r="O27" s="6"/>
      <c r="P27" s="6"/>
      <c r="U27" s="5"/>
      <c r="V27" s="7">
        <f>[[#This Row],[Selling Price]]-[[#This Row],[Supplier Price]]-[[#This Row],[Shipping Cost]]</f>
        <v>0</v>
      </c>
    </row>
    <row r="28" spans="2:22" ht="20" customHeight="1">
      <c r="B28" s="5"/>
      <c r="N28" s="6"/>
      <c r="O28" s="6"/>
      <c r="P28" s="6"/>
      <c r="U28" s="5"/>
      <c r="V28" s="7">
        <f>[[#This Row],[Selling Price]]-[[#This Row],[Supplier Price]]-[[#This Row],[Shipping Cost]]</f>
        <v>0</v>
      </c>
    </row>
    <row r="29" spans="2:22" ht="20" customHeight="1">
      <c r="B29" s="5"/>
      <c r="N29" s="6"/>
      <c r="O29" s="6"/>
      <c r="P29" s="6"/>
      <c r="U29" s="5"/>
      <c r="V29" s="7">
        <f>[[#This Row],[Selling Price]]-[[#This Row],[Supplier Price]]-[[#This Row],[Shipping Cost]]</f>
        <v>0</v>
      </c>
    </row>
    <row r="30" spans="2:22" ht="20" customHeight="1">
      <c r="B30" s="5"/>
      <c r="N30" s="6"/>
      <c r="O30" s="6"/>
      <c r="P30" s="6"/>
      <c r="U30" s="5"/>
      <c r="V30" s="7">
        <f>[[#This Row],[Selling Price]]-[[#This Row],[Supplier Price]]-[[#This Row],[Shipping Cost]]</f>
        <v>0</v>
      </c>
    </row>
    <row r="31" spans="2:22" ht="20" customHeight="1">
      <c r="B31" s="5"/>
      <c r="N31" s="6"/>
      <c r="O31" s="6"/>
      <c r="P31" s="6"/>
      <c r="U31" s="5"/>
      <c r="V31" s="7">
        <f>[[#This Row],[Selling Price]]-[[#This Row],[Supplier Price]]-[[#This Row],[Shipping Cost]]</f>
        <v>0</v>
      </c>
    </row>
    <row r="32" spans="2:22" ht="20" customHeight="1">
      <c r="B32" s="5"/>
      <c r="N32" s="6"/>
      <c r="O32" s="6"/>
      <c r="P32" s="6"/>
      <c r="U32" s="5"/>
      <c r="V32" s="7">
        <f>[[#This Row],[Selling Price]]-[[#This Row],[Supplier Price]]-[[#This Row],[Shipping Cost]]</f>
        <v>0</v>
      </c>
    </row>
    <row r="33" spans="2:22" ht="20" customHeight="1">
      <c r="B33" s="5"/>
      <c r="N33" s="6"/>
      <c r="O33" s="6"/>
      <c r="P33" s="6"/>
      <c r="U33" s="5"/>
      <c r="V33" s="7">
        <f>[[#This Row],[Selling Price]]-[[#This Row],[Supplier Price]]-[[#This Row],[Shipping Cost]]</f>
        <v>0</v>
      </c>
    </row>
    <row r="34" spans="2:22" ht="20" customHeight="1">
      <c r="B34" s="5"/>
      <c r="N34" s="6"/>
      <c r="O34" s="6"/>
      <c r="P34" s="6"/>
      <c r="U34" s="5"/>
      <c r="V34" s="7">
        <f>[[#This Row],[Selling Price]]-[[#This Row],[Supplier Price]]-[[#This Row],[Shipping Cost]]</f>
        <v>0</v>
      </c>
    </row>
    <row r="35" spans="2:22" ht="20" customHeight="1">
      <c r="B35" s="5"/>
      <c r="N35" s="6"/>
      <c r="O35" s="6"/>
      <c r="P35" s="6"/>
      <c r="U35" s="5"/>
      <c r="V35" s="7">
        <f>[[#This Row],[Selling Price]]-[[#This Row],[Supplier Price]]-[[#This Row],[Shipping Cost]]</f>
        <v>0</v>
      </c>
    </row>
    <row r="36" spans="2:22" ht="20" customHeight="1">
      <c r="B36" s="5"/>
      <c r="N36" s="6"/>
      <c r="O36" s="6"/>
      <c r="P36" s="6"/>
      <c r="U36" s="5"/>
      <c r="V36" s="7">
        <f>[[#This Row],[Selling Price]]-[[#This Row],[Supplier Price]]-[[#This Row],[Shipping Cost]]</f>
        <v>0</v>
      </c>
    </row>
    <row r="37" spans="2:22" ht="20" customHeight="1">
      <c r="B37" s="5"/>
      <c r="N37" s="6"/>
      <c r="O37" s="6"/>
      <c r="P37" s="6"/>
      <c r="U37" s="5"/>
      <c r="V37" s="7">
        <f>[[#This Row],[Selling Price]]-[[#This Row],[Supplier Price]]-[[#This Row],[Shipping Cost]]</f>
        <v>0</v>
      </c>
    </row>
    <row r="38" spans="2:22" ht="20" customHeight="1">
      <c r="B38" s="5"/>
      <c r="N38" s="6"/>
      <c r="O38" s="6"/>
      <c r="P38" s="6"/>
      <c r="U38" s="5"/>
      <c r="V38" s="7">
        <f>[[#This Row],[Selling Price]]-[[#This Row],[Supplier Price]]-[[#This Row],[Shipping Cost]]</f>
        <v>0</v>
      </c>
    </row>
    <row r="39" spans="2:22" ht="20" customHeight="1">
      <c r="B39" s="5"/>
      <c r="N39" s="6"/>
      <c r="O39" s="6"/>
      <c r="P39" s="6"/>
      <c r="U39" s="5"/>
      <c r="V39" s="7">
        <f>[[#This Row],[Selling Price]]-[[#This Row],[Supplier Price]]-[[#This Row],[Shipping Cost]]</f>
        <v>0</v>
      </c>
    </row>
    <row r="40" spans="2:22" ht="20" customHeight="1">
      <c r="B40" s="5"/>
      <c r="N40" s="6"/>
      <c r="O40" s="6"/>
      <c r="P40" s="6"/>
      <c r="U40" s="5"/>
      <c r="V40" s="7">
        <f>[[#This Row],[Selling Price]]-[[#This Row],[Supplier Price]]-[[#This Row],[Shipping Cost]]</f>
        <v>0</v>
      </c>
    </row>
    <row r="41" spans="2:22" ht="20" customHeight="1">
      <c r="B41" s="5"/>
      <c r="N41" s="6"/>
      <c r="O41" s="6"/>
      <c r="P41" s="6"/>
      <c r="U41" s="5"/>
      <c r="V41" s="7">
        <f>[[#This Row],[Selling Price]]-[[#This Row],[Supplier Price]]-[[#This Row],[Shipping Cost]]</f>
        <v>0</v>
      </c>
    </row>
    <row r="42" spans="2:22" ht="20" customHeight="1">
      <c r="B42" s="5"/>
      <c r="N42" s="6"/>
      <c r="O42" s="6"/>
      <c r="P42" s="6"/>
      <c r="U42" s="5"/>
      <c r="V42" s="7">
        <f>[[#This Row],[Selling Price]]-[[#This Row],[Supplier Price]]-[[#This Row],[Shipping Cost]]</f>
        <v>0</v>
      </c>
    </row>
    <row r="43" spans="2:22" ht="20" customHeight="1">
      <c r="B43" s="5"/>
      <c r="N43" s="6"/>
      <c r="O43" s="6"/>
      <c r="P43" s="6"/>
      <c r="U43" s="5"/>
      <c r="V43" s="7">
        <f>[[#This Row],[Selling Price]]-[[#This Row],[Supplier Price]]-[[#This Row],[Shipping Cost]]</f>
        <v>0</v>
      </c>
    </row>
    <row r="44" spans="2:22" ht="20" customHeight="1">
      <c r="B44" s="5"/>
      <c r="N44" s="6"/>
      <c r="O44" s="6"/>
      <c r="P44" s="6"/>
      <c r="U44" s="5"/>
      <c r="V44" s="7">
        <f>[[#This Row],[Selling Price]]-[[#This Row],[Supplier Price]]-[[#This Row],[Shipping Cost]]</f>
        <v>0</v>
      </c>
    </row>
    <row r="45" spans="2:22" ht="20" customHeight="1">
      <c r="B45" s="5"/>
      <c r="N45" s="6"/>
      <c r="O45" s="6"/>
      <c r="P45" s="6"/>
      <c r="U45" s="5"/>
      <c r="V45" s="7">
        <f>[[#This Row],[Selling Price]]-[[#This Row],[Supplier Price]]-[[#This Row],[Shipping Cost]]</f>
        <v>0</v>
      </c>
    </row>
    <row r="46" spans="2:22" ht="20" customHeight="1">
      <c r="B46" s="5"/>
      <c r="N46" s="6"/>
      <c r="O46" s="6"/>
      <c r="P46" s="6"/>
      <c r="U46" s="5"/>
      <c r="V46" s="7">
        <f>[[#This Row],[Selling Price]]-[[#This Row],[Supplier Price]]-[[#This Row],[Shipping Cost]]</f>
        <v>0</v>
      </c>
    </row>
    <row r="47" spans="2:22" ht="20" customHeight="1">
      <c r="B47" s="5"/>
      <c r="N47" s="6"/>
      <c r="O47" s="6"/>
      <c r="P47" s="6"/>
      <c r="U47" s="5"/>
      <c r="V47" s="7">
        <f>[[#This Row],[Selling Price]]-[[#This Row],[Supplier Price]]-[[#This Row],[Shipping Cost]]</f>
        <v>0</v>
      </c>
    </row>
    <row r="48" spans="2:22" ht="20" customHeight="1">
      <c r="B48" s="5"/>
      <c r="N48" s="6"/>
      <c r="O48" s="6"/>
      <c r="P48" s="6"/>
      <c r="U48" s="5"/>
      <c r="V48" s="7">
        <f>[[#This Row],[Selling Price]]-[[#This Row],[Supplier Price]]-[[#This Row],[Shipping Cost]]</f>
        <v>0</v>
      </c>
    </row>
    <row r="49" spans="2:22" ht="20" customHeight="1">
      <c r="B49" s="5"/>
      <c r="N49" s="6"/>
      <c r="O49" s="6"/>
      <c r="P49" s="6"/>
      <c r="U49" s="5"/>
      <c r="V49" s="7">
        <f>[[#This Row],[Selling Price]]-[[#This Row],[Supplier Price]]-[[#This Row],[Shipping Cost]]</f>
        <v>0</v>
      </c>
    </row>
    <row r="50" spans="2:22" ht="20" customHeight="1">
      <c r="B50" s="5"/>
      <c r="N50" s="6"/>
      <c r="O50" s="6"/>
      <c r="P50" s="6"/>
      <c r="U50" s="5"/>
      <c r="V50" s="7">
        <f>[[#This Row],[Selling Price]]-[[#This Row],[Supplier Price]]-[[#This Row],[Shipping Cost]]</f>
        <v>0</v>
      </c>
    </row>
    <row r="51" spans="2:22" ht="20" customHeight="1">
      <c r="B51" s="5"/>
      <c r="N51" s="6"/>
      <c r="O51" s="6"/>
      <c r="P51" s="6"/>
      <c r="U51" s="5"/>
      <c r="V51" s="7">
        <f>[[#This Row],[Selling Price]]-[[#This Row],[Supplier Price]]-[[#This Row],[Shipping Cost]]</f>
        <v>0</v>
      </c>
    </row>
    <row r="52" spans="2:22" ht="20" customHeight="1">
      <c r="B52" s="5"/>
      <c r="N52" s="6"/>
      <c r="O52" s="6"/>
      <c r="P52" s="6"/>
      <c r="U52" s="5"/>
      <c r="V52" s="7">
        <f>[[#This Row],[Selling Price]]-[[#This Row],[Supplier Price]]-[[#This Row],[Shipping Cost]]</f>
        <v>0</v>
      </c>
    </row>
    <row r="53" spans="2:22" ht="20" customHeight="1">
      <c r="B53" s="5"/>
      <c r="N53" s="6"/>
      <c r="O53" s="6"/>
      <c r="P53" s="6"/>
      <c r="U53" s="5"/>
      <c r="V53" s="7">
        <f>[[#This Row],[Selling Price]]-[[#This Row],[Supplier Price]]-[[#This Row],[Shipping Cost]]</f>
        <v>0</v>
      </c>
    </row>
    <row r="54" spans="2:22" ht="20" customHeight="1">
      <c r="B54" s="5"/>
      <c r="N54" s="6"/>
      <c r="O54" s="6"/>
      <c r="P54" s="6"/>
      <c r="U54" s="5"/>
      <c r="V54" s="7">
        <f>[[#This Row],[Selling Price]]-[[#This Row],[Supplier Price]]-[[#This Row],[Shipping Cost]]</f>
        <v>0</v>
      </c>
    </row>
    <row r="55" spans="2:22" ht="20" customHeight="1">
      <c r="B55" s="5"/>
      <c r="N55" s="6"/>
      <c r="O55" s="6"/>
      <c r="P55" s="6"/>
      <c r="U55" s="5"/>
      <c r="V55" s="7">
        <f>[[#This Row],[Selling Price]]-[[#This Row],[Supplier Price]]-[[#This Row],[Shipping Cost]]</f>
        <v>0</v>
      </c>
    </row>
    <row r="56" spans="2:22" ht="20" customHeight="1">
      <c r="B56" s="5"/>
      <c r="N56" s="6"/>
      <c r="O56" s="6"/>
      <c r="P56" s="6"/>
      <c r="U56" s="5"/>
      <c r="V56" s="7">
        <f>[[#This Row],[Selling Price]]-[[#This Row],[Supplier Price]]-[[#This Row],[Shipping Cost]]</f>
        <v>0</v>
      </c>
    </row>
    <row r="57" spans="2:22" ht="20" customHeight="1">
      <c r="B57" s="5"/>
      <c r="N57" s="6"/>
      <c r="O57" s="6"/>
      <c r="P57" s="6"/>
      <c r="U57" s="5"/>
      <c r="V57" s="7">
        <f>[[#This Row],[Selling Price]]-[[#This Row],[Supplier Price]]-[[#This Row],[Shipping Cost]]</f>
        <v>0</v>
      </c>
    </row>
    <row r="58" spans="2:22" ht="20" customHeight="1">
      <c r="B58" s="5"/>
      <c r="N58" s="6"/>
      <c r="O58" s="6"/>
      <c r="P58" s="6"/>
      <c r="U58" s="5"/>
      <c r="V58" s="7">
        <f>[[#This Row],[Selling Price]]-[[#This Row],[Supplier Price]]-[[#This Row],[Shipping Cost]]</f>
        <v>0</v>
      </c>
    </row>
    <row r="59" spans="2:22" ht="20" customHeight="1">
      <c r="B59" s="5"/>
      <c r="N59" s="6"/>
      <c r="O59" s="6"/>
      <c r="P59" s="6"/>
      <c r="U59" s="5"/>
      <c r="V59" s="7">
        <f>[[#This Row],[Selling Price]]-[[#This Row],[Supplier Price]]-[[#This Row],[Shipping Cost]]</f>
        <v>0</v>
      </c>
    </row>
    <row r="60" spans="2:22" ht="20" customHeight="1">
      <c r="B60" s="5"/>
      <c r="N60" s="6"/>
      <c r="O60" s="6"/>
      <c r="P60" s="6"/>
      <c r="U60" s="5"/>
      <c r="V60" s="7">
        <f>[[#This Row],[Selling Price]]-[[#This Row],[Supplier Price]]-[[#This Row],[Shipping Cost]]</f>
        <v>0</v>
      </c>
    </row>
    <row r="61" spans="2:22" ht="20" customHeight="1">
      <c r="B61" s="5"/>
      <c r="N61" s="6"/>
      <c r="O61" s="6"/>
      <c r="P61" s="6"/>
      <c r="U61" s="5"/>
      <c r="V61" s="7">
        <f>[[#This Row],[Selling Price]]-[[#This Row],[Supplier Price]]-[[#This Row],[Shipping Cost]]</f>
        <v>0</v>
      </c>
    </row>
    <row r="62" spans="2:22" ht="20" customHeight="1">
      <c r="B62" s="5"/>
      <c r="N62" s="6"/>
      <c r="O62" s="6"/>
      <c r="P62" s="6"/>
      <c r="U62" s="5"/>
      <c r="V62" s="7">
        <f>[[#This Row],[Selling Price]]-[[#This Row],[Supplier Price]]-[[#This Row],[Shipping Cost]]</f>
        <v>0</v>
      </c>
    </row>
    <row r="63" spans="2:22" ht="20" customHeight="1">
      <c r="B63" s="5"/>
      <c r="N63" s="6"/>
      <c r="O63" s="6"/>
      <c r="P63" s="6"/>
      <c r="U63" s="5"/>
      <c r="V63" s="7">
        <f>[[#This Row],[Selling Price]]-[[#This Row],[Supplier Price]]-[[#This Row],[Shipping Cost]]</f>
        <v>0</v>
      </c>
    </row>
    <row r="64" spans="2:22" ht="20" customHeight="1">
      <c r="B64" s="5"/>
      <c r="N64" s="6"/>
      <c r="O64" s="6"/>
      <c r="P64" s="6"/>
      <c r="U64" s="5"/>
      <c r="V64" s="7">
        <f>[[#This Row],[Selling Price]]-[[#This Row],[Supplier Price]]-[[#This Row],[Shipping Cost]]</f>
        <v>0</v>
      </c>
    </row>
    <row r="65" spans="2:22" ht="20" customHeight="1">
      <c r="B65" s="5"/>
      <c r="N65" s="6"/>
      <c r="O65" s="6"/>
      <c r="P65" s="6"/>
      <c r="U65" s="5"/>
      <c r="V65" s="7">
        <f>[[#This Row],[Selling Price]]-[[#This Row],[Supplier Price]]-[[#This Row],[Shipping Cost]]</f>
        <v>0</v>
      </c>
    </row>
    <row r="66" spans="2:22" ht="20" customHeight="1">
      <c r="B66" s="5"/>
      <c r="N66" s="6"/>
      <c r="O66" s="6"/>
      <c r="P66" s="6"/>
      <c r="U66" s="5"/>
      <c r="V66" s="7">
        <f>[[#This Row],[Selling Price]]-[[#This Row],[Supplier Price]]-[[#This Row],[Shipping Cost]]</f>
        <v>0</v>
      </c>
    </row>
    <row r="67" spans="2:22" ht="20" customHeight="1">
      <c r="B67" s="5"/>
      <c r="N67" s="6"/>
      <c r="O67" s="6"/>
      <c r="P67" s="6"/>
      <c r="U67" s="5"/>
      <c r="V67" s="7">
        <f>[[#This Row],[Selling Price]]-[[#This Row],[Supplier Price]]-[[#This Row],[Shipping Cost]]</f>
        <v>0</v>
      </c>
    </row>
    <row r="68" spans="2:22" ht="20" customHeight="1">
      <c r="B68" s="5"/>
      <c r="N68" s="6"/>
      <c r="O68" s="6"/>
      <c r="P68" s="6"/>
      <c r="U68" s="5"/>
      <c r="V68" s="7">
        <f>[[#This Row],[Selling Price]]-[[#This Row],[Supplier Price]]-[[#This Row],[Shipping Cost]]</f>
        <v>0</v>
      </c>
    </row>
    <row r="69" spans="2:22" ht="20" customHeight="1">
      <c r="B69" s="5"/>
      <c r="N69" s="6"/>
      <c r="O69" s="6"/>
      <c r="P69" s="6"/>
      <c r="U69" s="5"/>
      <c r="V69" s="7">
        <f>[[#This Row],[Selling Price]]-[[#This Row],[Supplier Price]]-[[#This Row],[Shipping Cost]]</f>
        <v>0</v>
      </c>
    </row>
    <row r="70" spans="2:22" ht="20" customHeight="1">
      <c r="B70" s="5"/>
      <c r="N70" s="6"/>
      <c r="O70" s="6"/>
      <c r="P70" s="6"/>
      <c r="U70" s="5"/>
      <c r="V70" s="7">
        <f>[[#This Row],[Selling Price]]-[[#This Row],[Supplier Price]]-[[#This Row],[Shipping Cost]]</f>
        <v>0</v>
      </c>
    </row>
    <row r="71" spans="2:22" ht="20" customHeight="1">
      <c r="B71" s="5"/>
      <c r="N71" s="6"/>
      <c r="O71" s="6"/>
      <c r="P71" s="6"/>
      <c r="U71" s="5"/>
      <c r="V71" s="7">
        <f>[[#This Row],[Selling Price]]-[[#This Row],[Supplier Price]]-[[#This Row],[Shipping Cost]]</f>
        <v>0</v>
      </c>
    </row>
    <row r="72" spans="2:22" ht="20" customHeight="1">
      <c r="B72" s="5"/>
      <c r="N72" s="6"/>
      <c r="O72" s="6"/>
      <c r="P72" s="6"/>
      <c r="U72" s="5"/>
      <c r="V72" s="7">
        <f>[[#This Row],[Selling Price]]-[[#This Row],[Supplier Price]]-[[#This Row],[Shipping Cost]]</f>
        <v>0</v>
      </c>
    </row>
    <row r="73" spans="2:22" ht="20" customHeight="1">
      <c r="B73" s="5"/>
      <c r="N73" s="6"/>
      <c r="O73" s="6"/>
      <c r="P73" s="6"/>
      <c r="U73" s="5"/>
      <c r="V73" s="7">
        <f>[[#This Row],[Selling Price]]-[[#This Row],[Supplier Price]]-[[#This Row],[Shipping Cost]]</f>
        <v>0</v>
      </c>
    </row>
    <row r="74" spans="2:22" ht="20" customHeight="1">
      <c r="B74" s="5"/>
      <c r="N74" s="6"/>
      <c r="O74" s="6"/>
      <c r="P74" s="6"/>
      <c r="U74" s="5"/>
      <c r="V74" s="7">
        <f>[[#This Row],[Selling Price]]-[[#This Row],[Supplier Price]]-[[#This Row],[Shipping Cost]]</f>
        <v>0</v>
      </c>
    </row>
    <row r="75" spans="2:22" ht="20" customHeight="1">
      <c r="B75" s="5"/>
      <c r="N75" s="6"/>
      <c r="O75" s="6"/>
      <c r="P75" s="6"/>
      <c r="U75" s="5"/>
      <c r="V75" s="7">
        <f>[[#This Row],[Selling Price]]-[[#This Row],[Supplier Price]]-[[#This Row],[Shipping Cost]]</f>
        <v>0</v>
      </c>
    </row>
    <row r="76" spans="2:22" ht="20" customHeight="1">
      <c r="B76" s="5"/>
      <c r="N76" s="6"/>
      <c r="O76" s="6"/>
      <c r="P76" s="6"/>
      <c r="U76" s="5"/>
      <c r="V76" s="7">
        <f>[[#This Row],[Selling Price]]-[[#This Row],[Supplier Price]]-[[#This Row],[Shipping Cost]]</f>
        <v>0</v>
      </c>
    </row>
    <row r="77" spans="2:22" ht="20" customHeight="1">
      <c r="B77" s="5"/>
      <c r="N77" s="6"/>
      <c r="O77" s="6"/>
      <c r="P77" s="6"/>
      <c r="U77" s="5"/>
      <c r="V77" s="7">
        <f>[[#This Row],[Selling Price]]-[[#This Row],[Supplier Price]]-[[#This Row],[Shipping Cost]]</f>
        <v>0</v>
      </c>
    </row>
    <row r="78" spans="2:22" ht="20" customHeight="1">
      <c r="B78" s="5"/>
      <c r="N78" s="6"/>
      <c r="O78" s="6"/>
      <c r="P78" s="6"/>
      <c r="U78" s="5"/>
      <c r="V78" s="7">
        <f>[[#This Row],[Selling Price]]-[[#This Row],[Supplier Price]]-[[#This Row],[Shipping Cost]]</f>
        <v>0</v>
      </c>
    </row>
    <row r="79" spans="2:22" ht="20" customHeight="1">
      <c r="B79" s="5"/>
      <c r="N79" s="6"/>
      <c r="O79" s="6"/>
      <c r="P79" s="6"/>
      <c r="U79" s="5"/>
      <c r="V79" s="7">
        <f>[[#This Row],[Selling Price]]-[[#This Row],[Supplier Price]]-[[#This Row],[Shipping Cost]]</f>
        <v>0</v>
      </c>
    </row>
    <row r="80" spans="2:22" ht="20" customHeight="1">
      <c r="B80" s="5"/>
      <c r="N80" s="6"/>
      <c r="O80" s="6"/>
      <c r="P80" s="6"/>
      <c r="U80" s="5"/>
      <c r="V80" s="7">
        <f>[[#This Row],[Selling Price]]-[[#This Row],[Supplier Price]]-[[#This Row],[Shipping Cost]]</f>
        <v>0</v>
      </c>
    </row>
    <row r="81" spans="2:22" ht="20" customHeight="1">
      <c r="B81" s="5"/>
      <c r="N81" s="6"/>
      <c r="O81" s="6"/>
      <c r="P81" s="6"/>
      <c r="U81" s="5"/>
      <c r="V81" s="7">
        <f>[[#This Row],[Selling Price]]-[[#This Row],[Supplier Price]]-[[#This Row],[Shipping Cost]]</f>
        <v>0</v>
      </c>
    </row>
    <row r="82" spans="2:22" ht="20" customHeight="1">
      <c r="B82" s="5"/>
      <c r="N82" s="6"/>
      <c r="O82" s="6"/>
      <c r="P82" s="6"/>
      <c r="U82" s="5"/>
      <c r="V82" s="7">
        <f>[[#This Row],[Selling Price]]-[[#This Row],[Supplier Price]]-[[#This Row],[Shipping Cost]]</f>
        <v>0</v>
      </c>
    </row>
    <row r="83" spans="2:22" ht="20" customHeight="1">
      <c r="B83" s="5"/>
      <c r="N83" s="6"/>
      <c r="O83" s="6"/>
      <c r="P83" s="6"/>
      <c r="U83" s="5"/>
      <c r="V83" s="7">
        <f>[[#This Row],[Selling Price]]-[[#This Row],[Supplier Price]]-[[#This Row],[Shipping Cost]]</f>
        <v>0</v>
      </c>
    </row>
    <row r="84" spans="2:22" ht="20" customHeight="1">
      <c r="B84" s="5"/>
      <c r="N84" s="6"/>
      <c r="O84" s="6"/>
      <c r="P84" s="6"/>
      <c r="U84" s="5"/>
      <c r="V84" s="7">
        <f>[[#This Row],[Selling Price]]-[[#This Row],[Supplier Price]]-[[#This Row],[Shipping Cost]]</f>
        <v>0</v>
      </c>
    </row>
    <row r="85" spans="2:22" ht="20" customHeight="1">
      <c r="B85" s="5"/>
      <c r="N85" s="6"/>
      <c r="O85" s="6"/>
      <c r="P85" s="6"/>
      <c r="U85" s="5"/>
      <c r="V85" s="7">
        <f>[[#This Row],[Selling Price]]-[[#This Row],[Supplier Price]]-[[#This Row],[Shipping Cost]]</f>
        <v>0</v>
      </c>
    </row>
    <row r="86" spans="2:22" ht="20" customHeight="1">
      <c r="B86" s="5"/>
      <c r="N86" s="6"/>
      <c r="O86" s="6"/>
      <c r="P86" s="6"/>
      <c r="U86" s="5"/>
      <c r="V86" s="7">
        <f>[[#This Row],[Selling Price]]-[[#This Row],[Supplier Price]]-[[#This Row],[Shipping Cost]]</f>
        <v>0</v>
      </c>
    </row>
    <row r="87" spans="2:22" ht="20" customHeight="1">
      <c r="B87" s="5"/>
      <c r="N87" s="6"/>
      <c r="O87" s="6"/>
      <c r="P87" s="6"/>
      <c r="U87" s="5"/>
      <c r="V87" s="7">
        <f>[[#This Row],[Selling Price]]-[[#This Row],[Supplier Price]]-[[#This Row],[Shipping Cost]]</f>
        <v>0</v>
      </c>
    </row>
    <row r="88" spans="2:22" ht="20" customHeight="1">
      <c r="B88" s="5"/>
      <c r="N88" s="6"/>
      <c r="O88" s="6"/>
      <c r="P88" s="6"/>
      <c r="U88" s="5"/>
      <c r="V88" s="7">
        <f>[[#This Row],[Selling Price]]-[[#This Row],[Supplier Price]]-[[#This Row],[Shipping Cost]]</f>
        <v>0</v>
      </c>
    </row>
    <row r="89" spans="2:22" ht="20" customHeight="1">
      <c r="B89" s="5"/>
      <c r="N89" s="6"/>
      <c r="O89" s="6"/>
      <c r="P89" s="6"/>
      <c r="U89" s="5"/>
      <c r="V89" s="7">
        <f>[[#This Row],[Selling Price]]-[[#This Row],[Supplier Price]]-[[#This Row],[Shipping Cost]]</f>
        <v>0</v>
      </c>
    </row>
    <row r="90" spans="2:22" ht="20" customHeight="1">
      <c r="B90" s="5"/>
      <c r="N90" s="6"/>
      <c r="O90" s="6"/>
      <c r="P90" s="6"/>
      <c r="U90" s="5"/>
      <c r="V90" s="7">
        <f>[[#This Row],[Selling Price]]-[[#This Row],[Supplier Price]]-[[#This Row],[Shipping Cost]]</f>
        <v>0</v>
      </c>
    </row>
    <row r="91" spans="2:22" ht="20" customHeight="1">
      <c r="B91" s="5"/>
      <c r="N91" s="6"/>
      <c r="O91" s="6"/>
      <c r="P91" s="6"/>
      <c r="U91" s="5"/>
      <c r="V91" s="7">
        <f>[[#This Row],[Selling Price]]-[[#This Row],[Supplier Price]]-[[#This Row],[Shipping Cost]]</f>
        <v>0</v>
      </c>
    </row>
    <row r="92" spans="2:22" ht="20" customHeight="1">
      <c r="B92" s="5"/>
      <c r="N92" s="6"/>
      <c r="O92" s="6"/>
      <c r="P92" s="6"/>
      <c r="U92" s="5"/>
      <c r="V92" s="7">
        <f>[[#This Row],[Selling Price]]-[[#This Row],[Supplier Price]]-[[#This Row],[Shipping Cost]]</f>
        <v>0</v>
      </c>
    </row>
    <row r="93" spans="2:22" ht="20" customHeight="1">
      <c r="B93" s="5"/>
      <c r="N93" s="6"/>
      <c r="O93" s="6"/>
      <c r="P93" s="6"/>
      <c r="U93" s="5"/>
      <c r="V93" s="7">
        <f>[[#This Row],[Selling Price]]-[[#This Row],[Supplier Price]]-[[#This Row],[Shipping Cost]]</f>
        <v>0</v>
      </c>
    </row>
    <row r="94" spans="2:22" ht="20" customHeight="1">
      <c r="B94" s="5"/>
      <c r="N94" s="6"/>
      <c r="O94" s="6"/>
      <c r="P94" s="6"/>
      <c r="U94" s="5"/>
      <c r="V94" s="7">
        <f>[[#This Row],[Selling Price]]-[[#This Row],[Supplier Price]]-[[#This Row],[Shipping Cost]]</f>
        <v>0</v>
      </c>
    </row>
    <row r="95" spans="2:22" ht="20" customHeight="1">
      <c r="B95" s="5"/>
      <c r="N95" s="6"/>
      <c r="O95" s="6"/>
      <c r="P95" s="6"/>
      <c r="U95" s="5"/>
      <c r="V95" s="7">
        <f>[[#This Row],[Selling Price]]-[[#This Row],[Supplier Price]]-[[#This Row],[Shipping Cost]]</f>
        <v>0</v>
      </c>
    </row>
    <row r="96" spans="2:22" ht="20" customHeight="1">
      <c r="B96" s="5"/>
      <c r="N96" s="6"/>
      <c r="O96" s="6"/>
      <c r="P96" s="6"/>
      <c r="U96" s="5"/>
      <c r="V96" s="7">
        <f>[[#This Row],[Selling Price]]-[[#This Row],[Supplier Price]]-[[#This Row],[Shipping Cost]]</f>
        <v>0</v>
      </c>
    </row>
    <row r="97" spans="2:22" ht="20" customHeight="1">
      <c r="B97" s="5"/>
      <c r="N97" s="6"/>
      <c r="O97" s="6"/>
      <c r="P97" s="6"/>
      <c r="U97" s="5"/>
      <c r="V97" s="7">
        <f>[[#This Row],[Selling Price]]-[[#This Row],[Supplier Price]]-[[#This Row],[Shipping Cost]]</f>
        <v>0</v>
      </c>
    </row>
    <row r="98" spans="2:22" ht="20" customHeight="1">
      <c r="B98" s="5"/>
      <c r="N98" s="6"/>
      <c r="O98" s="6"/>
      <c r="P98" s="6"/>
      <c r="U98" s="5"/>
      <c r="V98" s="7">
        <f>[[#This Row],[Selling Price]]-[[#This Row],[Supplier Price]]-[[#This Row],[Shipping Cost]]</f>
        <v>0</v>
      </c>
    </row>
    <row r="99" spans="2:22" ht="20" customHeight="1">
      <c r="B99" s="5"/>
      <c r="N99" s="6"/>
      <c r="O99" s="6"/>
      <c r="P99" s="6"/>
      <c r="U99" s="5"/>
      <c r="V99" s="7">
        <f>[[#This Row],[Selling Price]]-[[#This Row],[Supplier Price]]-[[#This Row],[Shipping Cost]]</f>
        <v>0</v>
      </c>
    </row>
    <row r="100" spans="2:22" ht="20" customHeight="1">
      <c r="B100" s="5"/>
      <c r="N100" s="6"/>
      <c r="O100" s="6"/>
      <c r="P100" s="6"/>
      <c r="U100" s="5"/>
      <c r="V100" s="7">
        <f>[[#This Row],[Selling Price]]-[[#This Row],[Supplier Price]]-[[#This Row],[Shipping Cost]]</f>
        <v>0</v>
      </c>
    </row>
    <row r="101" spans="2:22" ht="20" customHeight="1">
      <c r="B101" s="5"/>
      <c r="N101" s="6"/>
      <c r="O101" s="6"/>
      <c r="P101" s="6"/>
      <c r="U101" s="5"/>
      <c r="V101" s="7">
        <f>[[#This Row],[Selling Price]]-[[#This Row],[Supplier Price]]-[[#This Row],[Shipping Cost]]</f>
        <v>0</v>
      </c>
    </row>
    <row r="102" spans="2:22" ht="20" customHeight="1">
      <c r="B102" s="5"/>
      <c r="N102" s="6"/>
      <c r="O102" s="6"/>
      <c r="P102" s="6"/>
      <c r="U102" s="5"/>
      <c r="V102" s="7">
        <f>[[#This Row],[Selling Price]]-[[#This Row],[Supplier Price]]-[[#This Row],[Shipping Cost]]</f>
        <v>0</v>
      </c>
    </row>
    <row r="103" spans="2:22" ht="20" customHeight="1">
      <c r="B103" s="5"/>
      <c r="N103" s="6"/>
      <c r="O103" s="6"/>
      <c r="P103" s="6"/>
      <c r="U103" s="5"/>
      <c r="V103" s="7">
        <f>[[#This Row],[Selling Price]]-[[#This Row],[Supplier Price]]-[[#This Row],[Shipping Cost]]</f>
        <v>0</v>
      </c>
    </row>
    <row r="104" spans="2:22" ht="20" customHeight="1">
      <c r="B104" s="5"/>
      <c r="N104" s="6"/>
      <c r="O104" s="6"/>
      <c r="P104" s="6"/>
      <c r="U104" s="5"/>
      <c r="V104" s="7">
        <f>[[#This Row],[Selling Price]]-[[#This Row],[Supplier Price]]-[[#This Row],[Shipping Cost]]</f>
        <v>0</v>
      </c>
    </row>
  </sheetData>
  <mergeCells count="2">
    <mergeCell ref="A1:W1"/>
    <mergeCell ref="A2:W2"/>
  </mergeCells>
  <conditionalFormatting sqref="S5:S104">
    <cfRule type="containsText" dxfId="3" priority="1" operator="containsText" text="Delivered">
      <formula>NOT(ISERROR(SEARCH("Delivered",S5)))</formula>
    </cfRule>
    <cfRule type="containsText" dxfId="4" priority="2" operator="containsText" text="Pending">
      <formula>NOT(ISERROR(SEARCH("Pending",S5)))</formula>
    </cfRule>
    <cfRule type="containsText" dxfId="5" priority="3" operator="containsText" text="Shipped">
      <formula>NOT(ISERROR(SEARCH("Shipped",S5)))</formula>
    </cfRule>
    <cfRule type="containsText" dxfId="6" priority="4" operator="containsText" text="Cancelled">
      <formula>NOT(ISERROR(SEARCH("Cancelled",S5)))</formula>
    </cfRule>
  </conditionalFormatting>
  <dataValidations count="5">
    <dataValidation type="list" allowBlank="1" showInputMessage="1" showErrorMessage="1" errorTitle="Invalid choice" error="Please select a value from the dropdown." promptTitle="Choose from list" sqref="J5:J104">
      <formula1>Lists!$A$2:$A$9</formula1>
    </dataValidation>
    <dataValidation type="list" allowBlank="1" showInputMessage="1" showErrorMessage="1" errorTitle="Invalid choice" error="Please select a value from the dropdown." promptTitle="Choose from list" sqref="M5:M104">
      <formula1>Lists!$B$2:$B$4</formula1>
    </dataValidation>
    <dataValidation type="list" allowBlank="1" showInputMessage="1" showErrorMessage="1" errorTitle="Invalid choice" error="Please select a value from the dropdown." promptTitle="Choose from list" sqref="Q5:Q104">
      <formula1>Lists!$E$2:$E$6</formula1>
    </dataValidation>
    <dataValidation type="list" allowBlank="1" showInputMessage="1" showErrorMessage="1" errorTitle="Invalid choice" error="Please select a value from the dropdown." promptTitle="Choose from list" sqref="R5:R104">
      <formula1>Lists!$C$2:$C$4</formula1>
    </dataValidation>
    <dataValidation type="list" allowBlank="1" showInputMessage="1" showErrorMessage="1" errorTitle="Invalid choice" error="Please select a value from the dropdown." promptTitle="Choose from list" sqref="S5:S104">
      <formula1>Lists!$D$2:$D$5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A9A"/>
  </sheetPr>
  <dimension ref="A1:L104"/>
  <sheetViews>
    <sheetView showGridLines="0" workbookViewId="0">
      <pane ySplit="4" topLeftCell="A5" activePane="bottomLeft" state="frozen"/>
      <selection pane="bottomLeft"/>
    </sheetView>
  </sheetViews>
  <sheetFormatPr defaultRowHeight="20" customHeight="1"/>
  <cols>
    <col min="1" max="1" width="14.7109375" customWidth="1"/>
    <col min="2" max="2" width="25.7109375" customWidth="1"/>
    <col min="3" max="3" width="15.7109375" customWidth="1"/>
    <col min="4" max="4" width="20.7109375" customWidth="1"/>
    <col min="5" max="5" width="32.7109375" customWidth="1"/>
    <col min="6" max="8" width="14.7109375" customWidth="1"/>
    <col min="9" max="9" width="20.7109375" customWidth="1"/>
    <col min="10" max="10" width="24.7109375" customWidth="1"/>
    <col min="11" max="11" width="17.7109375" customWidth="1"/>
    <col min="12" max="12" width="28.7109375" customWidth="1"/>
  </cols>
  <sheetData>
    <row r="1" spans="1:12" ht="30" customHeight="1">
      <c r="A1" s="3" t="s">
        <v>174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0" customHeight="1">
      <c r="A2" s="4" t="s">
        <v>175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20" customHeight="1">
      <c r="A4" t="s">
        <v>176</v>
      </c>
      <c r="B4" t="s">
        <v>45</v>
      </c>
      <c r="C4" t="s">
        <v>46</v>
      </c>
      <c r="D4" t="s">
        <v>177</v>
      </c>
      <c r="E4" t="s">
        <v>178</v>
      </c>
      <c r="F4" t="s">
        <v>179</v>
      </c>
      <c r="G4" t="s">
        <v>51</v>
      </c>
      <c r="H4" t="s">
        <v>56</v>
      </c>
      <c r="I4" t="s">
        <v>180</v>
      </c>
      <c r="J4" t="s">
        <v>181</v>
      </c>
      <c r="K4" t="s">
        <v>182</v>
      </c>
      <c r="L4" t="s">
        <v>183</v>
      </c>
    </row>
    <row r="5" spans="1:12" ht="20" customHeight="1">
      <c r="A5" t="s">
        <v>184</v>
      </c>
      <c r="B5" t="s">
        <v>65</v>
      </c>
      <c r="C5" t="s">
        <v>1</v>
      </c>
      <c r="D5" t="s">
        <v>10</v>
      </c>
      <c r="E5" s="8" t="s">
        <v>185</v>
      </c>
      <c r="F5" s="6">
        <v>650</v>
      </c>
      <c r="G5" s="6">
        <v>1199</v>
      </c>
      <c r="H5" s="7">
        <f>[[#This Row],[Selling Price]]-[[#This Row],[Supplier Cost]]</f>
        <v>0</v>
      </c>
      <c r="I5" t="s">
        <v>186</v>
      </c>
      <c r="J5" t="s">
        <v>187</v>
      </c>
      <c r="K5" t="s">
        <v>188</v>
      </c>
      <c r="L5" t="s">
        <v>28</v>
      </c>
    </row>
    <row r="6" spans="1:12" ht="20" customHeight="1">
      <c r="A6" t="s">
        <v>189</v>
      </c>
      <c r="B6" t="s">
        <v>76</v>
      </c>
      <c r="C6" t="s">
        <v>2</v>
      </c>
      <c r="D6" t="s">
        <v>10</v>
      </c>
      <c r="E6" s="8" t="s">
        <v>185</v>
      </c>
      <c r="F6" s="6">
        <v>350</v>
      </c>
      <c r="G6" s="6">
        <v>799</v>
      </c>
      <c r="H6" s="7">
        <f>[[#This Row],[Selling Price]]-[[#This Row],[Supplier Cost]]</f>
        <v>0</v>
      </c>
      <c r="I6" t="s">
        <v>190</v>
      </c>
      <c r="J6" t="s">
        <v>191</v>
      </c>
      <c r="K6" t="s">
        <v>192</v>
      </c>
      <c r="L6" t="s">
        <v>28</v>
      </c>
    </row>
    <row r="7" spans="1:12" ht="20" customHeight="1">
      <c r="A7" t="s">
        <v>193</v>
      </c>
      <c r="B7" t="s">
        <v>87</v>
      </c>
      <c r="C7" t="s">
        <v>3</v>
      </c>
      <c r="D7" t="s">
        <v>10</v>
      </c>
      <c r="E7" s="8" t="s">
        <v>185</v>
      </c>
      <c r="F7" s="6">
        <v>550</v>
      </c>
      <c r="G7" s="6">
        <v>1099</v>
      </c>
      <c r="H7" s="7">
        <f>[[#This Row],[Selling Price]]-[[#This Row],[Supplier Cost]]</f>
        <v>0</v>
      </c>
      <c r="I7" t="s">
        <v>194</v>
      </c>
      <c r="J7" t="s">
        <v>195</v>
      </c>
      <c r="K7" t="s">
        <v>196</v>
      </c>
      <c r="L7" t="s">
        <v>28</v>
      </c>
    </row>
    <row r="8" spans="1:12" ht="20" customHeight="1">
      <c r="A8" t="s">
        <v>197</v>
      </c>
      <c r="B8" t="s">
        <v>98</v>
      </c>
      <c r="C8" t="s">
        <v>4</v>
      </c>
      <c r="D8" t="s">
        <v>11</v>
      </c>
      <c r="F8" s="6">
        <v>900</v>
      </c>
      <c r="G8" s="6">
        <v>1599</v>
      </c>
      <c r="H8" s="7">
        <f>[[#This Row],[Selling Price]]-[[#This Row],[Supplier Cost]]</f>
        <v>0</v>
      </c>
      <c r="I8" t="s">
        <v>190</v>
      </c>
      <c r="J8" t="s">
        <v>198</v>
      </c>
      <c r="K8" t="s">
        <v>199</v>
      </c>
      <c r="L8" t="s">
        <v>28</v>
      </c>
    </row>
    <row r="9" spans="1:12" ht="20" customHeight="1">
      <c r="A9" t="s">
        <v>200</v>
      </c>
      <c r="B9" t="s">
        <v>118</v>
      </c>
      <c r="C9" t="s">
        <v>1</v>
      </c>
      <c r="D9" t="s">
        <v>10</v>
      </c>
      <c r="E9" s="8" t="s">
        <v>185</v>
      </c>
      <c r="F9" s="6">
        <v>720</v>
      </c>
      <c r="G9" s="6">
        <v>1399</v>
      </c>
      <c r="H9" s="7">
        <f>[[#This Row],[Selling Price]]-[[#This Row],[Supplier Cost]]</f>
        <v>0</v>
      </c>
      <c r="I9" t="s">
        <v>190</v>
      </c>
      <c r="J9" t="s">
        <v>201</v>
      </c>
      <c r="K9" t="s">
        <v>202</v>
      </c>
      <c r="L9" t="s">
        <v>29</v>
      </c>
    </row>
    <row r="10" spans="1:12" ht="20" customHeight="1">
      <c r="F10" s="6"/>
      <c r="G10" s="6"/>
      <c r="H10" s="7">
        <f>[[#This Row],[Selling Price]]-[[#This Row],[Supplier Cost]]</f>
        <v>0</v>
      </c>
    </row>
    <row r="11" spans="1:12" ht="20" customHeight="1">
      <c r="F11" s="6"/>
      <c r="G11" s="6"/>
      <c r="H11" s="7">
        <f>[[#This Row],[Selling Price]]-[[#This Row],[Supplier Cost]]</f>
        <v>0</v>
      </c>
    </row>
    <row r="12" spans="1:12" ht="20" customHeight="1">
      <c r="F12" s="6"/>
      <c r="G12" s="6"/>
      <c r="H12" s="7">
        <f>[[#This Row],[Selling Price]]-[[#This Row],[Supplier Cost]]</f>
        <v>0</v>
      </c>
    </row>
    <row r="13" spans="1:12" ht="20" customHeight="1">
      <c r="F13" s="6"/>
      <c r="G13" s="6"/>
      <c r="H13" s="7">
        <f>[[#This Row],[Selling Price]]-[[#This Row],[Supplier Cost]]</f>
        <v>0</v>
      </c>
    </row>
    <row r="14" spans="1:12" ht="20" customHeight="1">
      <c r="F14" s="6"/>
      <c r="G14" s="6"/>
      <c r="H14" s="7">
        <f>[[#This Row],[Selling Price]]-[[#This Row],[Supplier Cost]]</f>
        <v>0</v>
      </c>
    </row>
    <row r="15" spans="1:12" ht="20" customHeight="1">
      <c r="F15" s="6"/>
      <c r="G15" s="6"/>
      <c r="H15" s="7">
        <f>[[#This Row],[Selling Price]]-[[#This Row],[Supplier Cost]]</f>
        <v>0</v>
      </c>
    </row>
    <row r="16" spans="1:12" ht="20" customHeight="1">
      <c r="F16" s="6"/>
      <c r="G16" s="6"/>
      <c r="H16" s="7">
        <f>[[#This Row],[Selling Price]]-[[#This Row],[Supplier Cost]]</f>
        <v>0</v>
      </c>
    </row>
    <row r="17" spans="6:8" ht="20" customHeight="1">
      <c r="F17" s="6"/>
      <c r="G17" s="6"/>
      <c r="H17" s="7">
        <f>[[#This Row],[Selling Price]]-[[#This Row],[Supplier Cost]]</f>
        <v>0</v>
      </c>
    </row>
    <row r="18" spans="6:8" ht="20" customHeight="1">
      <c r="F18" s="6"/>
      <c r="G18" s="6"/>
      <c r="H18" s="7">
        <f>[[#This Row],[Selling Price]]-[[#This Row],[Supplier Cost]]</f>
        <v>0</v>
      </c>
    </row>
    <row r="19" spans="6:8" ht="20" customHeight="1">
      <c r="F19" s="6"/>
      <c r="G19" s="6"/>
      <c r="H19" s="7">
        <f>[[#This Row],[Selling Price]]-[[#This Row],[Supplier Cost]]</f>
        <v>0</v>
      </c>
    </row>
    <row r="20" spans="6:8" ht="20" customHeight="1">
      <c r="F20" s="6"/>
      <c r="G20" s="6"/>
      <c r="H20" s="7">
        <f>[[#This Row],[Selling Price]]-[[#This Row],[Supplier Cost]]</f>
        <v>0</v>
      </c>
    </row>
    <row r="21" spans="6:8" ht="20" customHeight="1">
      <c r="F21" s="6"/>
      <c r="G21" s="6"/>
      <c r="H21" s="7">
        <f>[[#This Row],[Selling Price]]-[[#This Row],[Supplier Cost]]</f>
        <v>0</v>
      </c>
    </row>
    <row r="22" spans="6:8" ht="20" customHeight="1">
      <c r="F22" s="6"/>
      <c r="G22" s="6"/>
      <c r="H22" s="7">
        <f>[[#This Row],[Selling Price]]-[[#This Row],[Supplier Cost]]</f>
        <v>0</v>
      </c>
    </row>
    <row r="23" spans="6:8" ht="20" customHeight="1">
      <c r="F23" s="6"/>
      <c r="G23" s="6"/>
      <c r="H23" s="7">
        <f>[[#This Row],[Selling Price]]-[[#This Row],[Supplier Cost]]</f>
        <v>0</v>
      </c>
    </row>
    <row r="24" spans="6:8" ht="20" customHeight="1">
      <c r="F24" s="6"/>
      <c r="G24" s="6"/>
      <c r="H24" s="7">
        <f>[[#This Row],[Selling Price]]-[[#This Row],[Supplier Cost]]</f>
        <v>0</v>
      </c>
    </row>
    <row r="25" spans="6:8" ht="20" customHeight="1">
      <c r="F25" s="6"/>
      <c r="G25" s="6"/>
      <c r="H25" s="7">
        <f>[[#This Row],[Selling Price]]-[[#This Row],[Supplier Cost]]</f>
        <v>0</v>
      </c>
    </row>
    <row r="26" spans="6:8" ht="20" customHeight="1">
      <c r="F26" s="6"/>
      <c r="G26" s="6"/>
      <c r="H26" s="7">
        <f>[[#This Row],[Selling Price]]-[[#This Row],[Supplier Cost]]</f>
        <v>0</v>
      </c>
    </row>
    <row r="27" spans="6:8" ht="20" customHeight="1">
      <c r="F27" s="6"/>
      <c r="G27" s="6"/>
      <c r="H27" s="7">
        <f>[[#This Row],[Selling Price]]-[[#This Row],[Supplier Cost]]</f>
        <v>0</v>
      </c>
    </row>
    <row r="28" spans="6:8" ht="20" customHeight="1">
      <c r="F28" s="6"/>
      <c r="G28" s="6"/>
      <c r="H28" s="7">
        <f>[[#This Row],[Selling Price]]-[[#This Row],[Supplier Cost]]</f>
        <v>0</v>
      </c>
    </row>
    <row r="29" spans="6:8" ht="20" customHeight="1">
      <c r="F29" s="6"/>
      <c r="G29" s="6"/>
      <c r="H29" s="7">
        <f>[[#This Row],[Selling Price]]-[[#This Row],[Supplier Cost]]</f>
        <v>0</v>
      </c>
    </row>
    <row r="30" spans="6:8" ht="20" customHeight="1">
      <c r="F30" s="6"/>
      <c r="G30" s="6"/>
      <c r="H30" s="7">
        <f>[[#This Row],[Selling Price]]-[[#This Row],[Supplier Cost]]</f>
        <v>0</v>
      </c>
    </row>
    <row r="31" spans="6:8" ht="20" customHeight="1">
      <c r="F31" s="6"/>
      <c r="G31" s="6"/>
      <c r="H31" s="7">
        <f>[[#This Row],[Selling Price]]-[[#This Row],[Supplier Cost]]</f>
        <v>0</v>
      </c>
    </row>
    <row r="32" spans="6:8" ht="20" customHeight="1">
      <c r="F32" s="6"/>
      <c r="G32" s="6"/>
      <c r="H32" s="7">
        <f>[[#This Row],[Selling Price]]-[[#This Row],[Supplier Cost]]</f>
        <v>0</v>
      </c>
    </row>
    <row r="33" spans="6:8" ht="20" customHeight="1">
      <c r="F33" s="6"/>
      <c r="G33" s="6"/>
      <c r="H33" s="7">
        <f>[[#This Row],[Selling Price]]-[[#This Row],[Supplier Cost]]</f>
        <v>0</v>
      </c>
    </row>
    <row r="34" spans="6:8" ht="20" customHeight="1">
      <c r="F34" s="6"/>
      <c r="G34" s="6"/>
      <c r="H34" s="7">
        <f>[[#This Row],[Selling Price]]-[[#This Row],[Supplier Cost]]</f>
        <v>0</v>
      </c>
    </row>
    <row r="35" spans="6:8" ht="20" customHeight="1">
      <c r="F35" s="6"/>
      <c r="G35" s="6"/>
      <c r="H35" s="7">
        <f>[[#This Row],[Selling Price]]-[[#This Row],[Supplier Cost]]</f>
        <v>0</v>
      </c>
    </row>
    <row r="36" spans="6:8" ht="20" customHeight="1">
      <c r="F36" s="6"/>
      <c r="G36" s="6"/>
      <c r="H36" s="7">
        <f>[[#This Row],[Selling Price]]-[[#This Row],[Supplier Cost]]</f>
        <v>0</v>
      </c>
    </row>
    <row r="37" spans="6:8" ht="20" customHeight="1">
      <c r="F37" s="6"/>
      <c r="G37" s="6"/>
      <c r="H37" s="7">
        <f>[[#This Row],[Selling Price]]-[[#This Row],[Supplier Cost]]</f>
        <v>0</v>
      </c>
    </row>
    <row r="38" spans="6:8" ht="20" customHeight="1">
      <c r="F38" s="6"/>
      <c r="G38" s="6"/>
      <c r="H38" s="7">
        <f>[[#This Row],[Selling Price]]-[[#This Row],[Supplier Cost]]</f>
        <v>0</v>
      </c>
    </row>
    <row r="39" spans="6:8" ht="20" customHeight="1">
      <c r="F39" s="6"/>
      <c r="G39" s="6"/>
      <c r="H39" s="7">
        <f>[[#This Row],[Selling Price]]-[[#This Row],[Supplier Cost]]</f>
        <v>0</v>
      </c>
    </row>
    <row r="40" spans="6:8" ht="20" customHeight="1">
      <c r="F40" s="6"/>
      <c r="G40" s="6"/>
      <c r="H40" s="7">
        <f>[[#This Row],[Selling Price]]-[[#This Row],[Supplier Cost]]</f>
        <v>0</v>
      </c>
    </row>
    <row r="41" spans="6:8" ht="20" customHeight="1">
      <c r="F41" s="6"/>
      <c r="G41" s="6"/>
      <c r="H41" s="7">
        <f>[[#This Row],[Selling Price]]-[[#This Row],[Supplier Cost]]</f>
        <v>0</v>
      </c>
    </row>
    <row r="42" spans="6:8" ht="20" customHeight="1">
      <c r="F42" s="6"/>
      <c r="G42" s="6"/>
      <c r="H42" s="7">
        <f>[[#This Row],[Selling Price]]-[[#This Row],[Supplier Cost]]</f>
        <v>0</v>
      </c>
    </row>
    <row r="43" spans="6:8" ht="20" customHeight="1">
      <c r="F43" s="6"/>
      <c r="G43" s="6"/>
      <c r="H43" s="7">
        <f>[[#This Row],[Selling Price]]-[[#This Row],[Supplier Cost]]</f>
        <v>0</v>
      </c>
    </row>
    <row r="44" spans="6:8" ht="20" customHeight="1">
      <c r="F44" s="6"/>
      <c r="G44" s="6"/>
      <c r="H44" s="7">
        <f>[[#This Row],[Selling Price]]-[[#This Row],[Supplier Cost]]</f>
        <v>0</v>
      </c>
    </row>
    <row r="45" spans="6:8" ht="20" customHeight="1">
      <c r="F45" s="6"/>
      <c r="G45" s="6"/>
      <c r="H45" s="7">
        <f>[[#This Row],[Selling Price]]-[[#This Row],[Supplier Cost]]</f>
        <v>0</v>
      </c>
    </row>
    <row r="46" spans="6:8" ht="20" customHeight="1">
      <c r="F46" s="6"/>
      <c r="G46" s="6"/>
      <c r="H46" s="7">
        <f>[[#This Row],[Selling Price]]-[[#This Row],[Supplier Cost]]</f>
        <v>0</v>
      </c>
    </row>
    <row r="47" spans="6:8" ht="20" customHeight="1">
      <c r="F47" s="6"/>
      <c r="G47" s="6"/>
      <c r="H47" s="7">
        <f>[[#This Row],[Selling Price]]-[[#This Row],[Supplier Cost]]</f>
        <v>0</v>
      </c>
    </row>
    <row r="48" spans="6:8" ht="20" customHeight="1">
      <c r="F48" s="6"/>
      <c r="G48" s="6"/>
      <c r="H48" s="7">
        <f>[[#This Row],[Selling Price]]-[[#This Row],[Supplier Cost]]</f>
        <v>0</v>
      </c>
    </row>
    <row r="49" spans="6:8" ht="20" customHeight="1">
      <c r="F49" s="6"/>
      <c r="G49" s="6"/>
      <c r="H49" s="7">
        <f>[[#This Row],[Selling Price]]-[[#This Row],[Supplier Cost]]</f>
        <v>0</v>
      </c>
    </row>
    <row r="50" spans="6:8" ht="20" customHeight="1">
      <c r="F50" s="6"/>
      <c r="G50" s="6"/>
      <c r="H50" s="7">
        <f>[[#This Row],[Selling Price]]-[[#This Row],[Supplier Cost]]</f>
        <v>0</v>
      </c>
    </row>
    <row r="51" spans="6:8" ht="20" customHeight="1">
      <c r="F51" s="6"/>
      <c r="G51" s="6"/>
      <c r="H51" s="7">
        <f>[[#This Row],[Selling Price]]-[[#This Row],[Supplier Cost]]</f>
        <v>0</v>
      </c>
    </row>
    <row r="52" spans="6:8" ht="20" customHeight="1">
      <c r="F52" s="6"/>
      <c r="G52" s="6"/>
      <c r="H52" s="7">
        <f>[[#This Row],[Selling Price]]-[[#This Row],[Supplier Cost]]</f>
        <v>0</v>
      </c>
    </row>
    <row r="53" spans="6:8" ht="20" customHeight="1">
      <c r="F53" s="6"/>
      <c r="G53" s="6"/>
      <c r="H53" s="7">
        <f>[[#This Row],[Selling Price]]-[[#This Row],[Supplier Cost]]</f>
        <v>0</v>
      </c>
    </row>
    <row r="54" spans="6:8" ht="20" customHeight="1">
      <c r="F54" s="6"/>
      <c r="G54" s="6"/>
      <c r="H54" s="7">
        <f>[[#This Row],[Selling Price]]-[[#This Row],[Supplier Cost]]</f>
        <v>0</v>
      </c>
    </row>
    <row r="55" spans="6:8" ht="20" customHeight="1">
      <c r="F55" s="6"/>
      <c r="G55" s="6"/>
      <c r="H55" s="7">
        <f>[[#This Row],[Selling Price]]-[[#This Row],[Supplier Cost]]</f>
        <v>0</v>
      </c>
    </row>
    <row r="56" spans="6:8" ht="20" customHeight="1">
      <c r="F56" s="6"/>
      <c r="G56" s="6"/>
      <c r="H56" s="7">
        <f>[[#This Row],[Selling Price]]-[[#This Row],[Supplier Cost]]</f>
        <v>0</v>
      </c>
    </row>
    <row r="57" spans="6:8" ht="20" customHeight="1">
      <c r="F57" s="6"/>
      <c r="G57" s="6"/>
      <c r="H57" s="7">
        <f>[[#This Row],[Selling Price]]-[[#This Row],[Supplier Cost]]</f>
        <v>0</v>
      </c>
    </row>
    <row r="58" spans="6:8" ht="20" customHeight="1">
      <c r="F58" s="6"/>
      <c r="G58" s="6"/>
      <c r="H58" s="7">
        <f>[[#This Row],[Selling Price]]-[[#This Row],[Supplier Cost]]</f>
        <v>0</v>
      </c>
    </row>
    <row r="59" spans="6:8" ht="20" customHeight="1">
      <c r="F59" s="6"/>
      <c r="G59" s="6"/>
      <c r="H59" s="7">
        <f>[[#This Row],[Selling Price]]-[[#This Row],[Supplier Cost]]</f>
        <v>0</v>
      </c>
    </row>
    <row r="60" spans="6:8" ht="20" customHeight="1">
      <c r="F60" s="6"/>
      <c r="G60" s="6"/>
      <c r="H60" s="7">
        <f>[[#This Row],[Selling Price]]-[[#This Row],[Supplier Cost]]</f>
        <v>0</v>
      </c>
    </row>
    <row r="61" spans="6:8" ht="20" customHeight="1">
      <c r="F61" s="6"/>
      <c r="G61" s="6"/>
      <c r="H61" s="7">
        <f>[[#This Row],[Selling Price]]-[[#This Row],[Supplier Cost]]</f>
        <v>0</v>
      </c>
    </row>
    <row r="62" spans="6:8" ht="20" customHeight="1">
      <c r="F62" s="6"/>
      <c r="G62" s="6"/>
      <c r="H62" s="7">
        <f>[[#This Row],[Selling Price]]-[[#This Row],[Supplier Cost]]</f>
        <v>0</v>
      </c>
    </row>
    <row r="63" spans="6:8" ht="20" customHeight="1">
      <c r="F63" s="6"/>
      <c r="G63" s="6"/>
      <c r="H63" s="7">
        <f>[[#This Row],[Selling Price]]-[[#This Row],[Supplier Cost]]</f>
        <v>0</v>
      </c>
    </row>
    <row r="64" spans="6:8" ht="20" customHeight="1">
      <c r="F64" s="6"/>
      <c r="G64" s="6"/>
      <c r="H64" s="7">
        <f>[[#This Row],[Selling Price]]-[[#This Row],[Supplier Cost]]</f>
        <v>0</v>
      </c>
    </row>
    <row r="65" spans="6:8" ht="20" customHeight="1">
      <c r="F65" s="6"/>
      <c r="G65" s="6"/>
      <c r="H65" s="7">
        <f>[[#This Row],[Selling Price]]-[[#This Row],[Supplier Cost]]</f>
        <v>0</v>
      </c>
    </row>
    <row r="66" spans="6:8" ht="20" customHeight="1">
      <c r="F66" s="6"/>
      <c r="G66" s="6"/>
      <c r="H66" s="7">
        <f>[[#This Row],[Selling Price]]-[[#This Row],[Supplier Cost]]</f>
        <v>0</v>
      </c>
    </row>
    <row r="67" spans="6:8" ht="20" customHeight="1">
      <c r="F67" s="6"/>
      <c r="G67" s="6"/>
      <c r="H67" s="7">
        <f>[[#This Row],[Selling Price]]-[[#This Row],[Supplier Cost]]</f>
        <v>0</v>
      </c>
    </row>
    <row r="68" spans="6:8" ht="20" customHeight="1">
      <c r="F68" s="6"/>
      <c r="G68" s="6"/>
      <c r="H68" s="7">
        <f>[[#This Row],[Selling Price]]-[[#This Row],[Supplier Cost]]</f>
        <v>0</v>
      </c>
    </row>
    <row r="69" spans="6:8" ht="20" customHeight="1">
      <c r="F69" s="6"/>
      <c r="G69" s="6"/>
      <c r="H69" s="7">
        <f>[[#This Row],[Selling Price]]-[[#This Row],[Supplier Cost]]</f>
        <v>0</v>
      </c>
    </row>
    <row r="70" spans="6:8" ht="20" customHeight="1">
      <c r="F70" s="6"/>
      <c r="G70" s="6"/>
      <c r="H70" s="7">
        <f>[[#This Row],[Selling Price]]-[[#This Row],[Supplier Cost]]</f>
        <v>0</v>
      </c>
    </row>
    <row r="71" spans="6:8" ht="20" customHeight="1">
      <c r="F71" s="6"/>
      <c r="G71" s="6"/>
      <c r="H71" s="7">
        <f>[[#This Row],[Selling Price]]-[[#This Row],[Supplier Cost]]</f>
        <v>0</v>
      </c>
    </row>
    <row r="72" spans="6:8" ht="20" customHeight="1">
      <c r="F72" s="6"/>
      <c r="G72" s="6"/>
      <c r="H72" s="7">
        <f>[[#This Row],[Selling Price]]-[[#This Row],[Supplier Cost]]</f>
        <v>0</v>
      </c>
    </row>
    <row r="73" spans="6:8" ht="20" customHeight="1">
      <c r="F73" s="6"/>
      <c r="G73" s="6"/>
      <c r="H73" s="7">
        <f>[[#This Row],[Selling Price]]-[[#This Row],[Supplier Cost]]</f>
        <v>0</v>
      </c>
    </row>
    <row r="74" spans="6:8" ht="20" customHeight="1">
      <c r="F74" s="6"/>
      <c r="G74" s="6"/>
      <c r="H74" s="7">
        <f>[[#This Row],[Selling Price]]-[[#This Row],[Supplier Cost]]</f>
        <v>0</v>
      </c>
    </row>
    <row r="75" spans="6:8" ht="20" customHeight="1">
      <c r="F75" s="6"/>
      <c r="G75" s="6"/>
      <c r="H75" s="7">
        <f>[[#This Row],[Selling Price]]-[[#This Row],[Supplier Cost]]</f>
        <v>0</v>
      </c>
    </row>
    <row r="76" spans="6:8" ht="20" customHeight="1">
      <c r="F76" s="6"/>
      <c r="G76" s="6"/>
      <c r="H76" s="7">
        <f>[[#This Row],[Selling Price]]-[[#This Row],[Supplier Cost]]</f>
        <v>0</v>
      </c>
    </row>
    <row r="77" spans="6:8" ht="20" customHeight="1">
      <c r="F77" s="6"/>
      <c r="G77" s="6"/>
      <c r="H77" s="7">
        <f>[[#This Row],[Selling Price]]-[[#This Row],[Supplier Cost]]</f>
        <v>0</v>
      </c>
    </row>
    <row r="78" spans="6:8" ht="20" customHeight="1">
      <c r="F78" s="6"/>
      <c r="G78" s="6"/>
      <c r="H78" s="7">
        <f>[[#This Row],[Selling Price]]-[[#This Row],[Supplier Cost]]</f>
        <v>0</v>
      </c>
    </row>
    <row r="79" spans="6:8" ht="20" customHeight="1">
      <c r="F79" s="6"/>
      <c r="G79" s="6"/>
      <c r="H79" s="7">
        <f>[[#This Row],[Selling Price]]-[[#This Row],[Supplier Cost]]</f>
        <v>0</v>
      </c>
    </row>
    <row r="80" spans="6:8" ht="20" customHeight="1">
      <c r="F80" s="6"/>
      <c r="G80" s="6"/>
      <c r="H80" s="7">
        <f>[[#This Row],[Selling Price]]-[[#This Row],[Supplier Cost]]</f>
        <v>0</v>
      </c>
    </row>
    <row r="81" spans="6:8" ht="20" customHeight="1">
      <c r="F81" s="6"/>
      <c r="G81" s="6"/>
      <c r="H81" s="7">
        <f>[[#This Row],[Selling Price]]-[[#This Row],[Supplier Cost]]</f>
        <v>0</v>
      </c>
    </row>
    <row r="82" spans="6:8" ht="20" customHeight="1">
      <c r="F82" s="6"/>
      <c r="G82" s="6"/>
      <c r="H82" s="7">
        <f>[[#This Row],[Selling Price]]-[[#This Row],[Supplier Cost]]</f>
        <v>0</v>
      </c>
    </row>
    <row r="83" spans="6:8" ht="20" customHeight="1">
      <c r="F83" s="6"/>
      <c r="G83" s="6"/>
      <c r="H83" s="7">
        <f>[[#This Row],[Selling Price]]-[[#This Row],[Supplier Cost]]</f>
        <v>0</v>
      </c>
    </row>
    <row r="84" spans="6:8" ht="20" customHeight="1">
      <c r="F84" s="6"/>
      <c r="G84" s="6"/>
      <c r="H84" s="7">
        <f>[[#This Row],[Selling Price]]-[[#This Row],[Supplier Cost]]</f>
        <v>0</v>
      </c>
    </row>
    <row r="85" spans="6:8" ht="20" customHeight="1">
      <c r="F85" s="6"/>
      <c r="G85" s="6"/>
      <c r="H85" s="7">
        <f>[[#This Row],[Selling Price]]-[[#This Row],[Supplier Cost]]</f>
        <v>0</v>
      </c>
    </row>
    <row r="86" spans="6:8" ht="20" customHeight="1">
      <c r="F86" s="6"/>
      <c r="G86" s="6"/>
      <c r="H86" s="7">
        <f>[[#This Row],[Selling Price]]-[[#This Row],[Supplier Cost]]</f>
        <v>0</v>
      </c>
    </row>
    <row r="87" spans="6:8" ht="20" customHeight="1">
      <c r="F87" s="6"/>
      <c r="G87" s="6"/>
      <c r="H87" s="7">
        <f>[[#This Row],[Selling Price]]-[[#This Row],[Supplier Cost]]</f>
        <v>0</v>
      </c>
    </row>
    <row r="88" spans="6:8" ht="20" customHeight="1">
      <c r="F88" s="6"/>
      <c r="G88" s="6"/>
      <c r="H88" s="7">
        <f>[[#This Row],[Selling Price]]-[[#This Row],[Supplier Cost]]</f>
        <v>0</v>
      </c>
    </row>
    <row r="89" spans="6:8" ht="20" customHeight="1">
      <c r="F89" s="6"/>
      <c r="G89" s="6"/>
      <c r="H89" s="7">
        <f>[[#This Row],[Selling Price]]-[[#This Row],[Supplier Cost]]</f>
        <v>0</v>
      </c>
    </row>
    <row r="90" spans="6:8" ht="20" customHeight="1">
      <c r="F90" s="6"/>
      <c r="G90" s="6"/>
      <c r="H90" s="7">
        <f>[[#This Row],[Selling Price]]-[[#This Row],[Supplier Cost]]</f>
        <v>0</v>
      </c>
    </row>
    <row r="91" spans="6:8" ht="20" customHeight="1">
      <c r="F91" s="6"/>
      <c r="G91" s="6"/>
      <c r="H91" s="7">
        <f>[[#This Row],[Selling Price]]-[[#This Row],[Supplier Cost]]</f>
        <v>0</v>
      </c>
    </row>
    <row r="92" spans="6:8" ht="20" customHeight="1">
      <c r="F92" s="6"/>
      <c r="G92" s="6"/>
      <c r="H92" s="7">
        <f>[[#This Row],[Selling Price]]-[[#This Row],[Supplier Cost]]</f>
        <v>0</v>
      </c>
    </row>
    <row r="93" spans="6:8" ht="20" customHeight="1">
      <c r="F93" s="6"/>
      <c r="G93" s="6"/>
      <c r="H93" s="7">
        <f>[[#This Row],[Selling Price]]-[[#This Row],[Supplier Cost]]</f>
        <v>0</v>
      </c>
    </row>
    <row r="94" spans="6:8" ht="20" customHeight="1">
      <c r="F94" s="6"/>
      <c r="G94" s="6"/>
      <c r="H94" s="7">
        <f>[[#This Row],[Selling Price]]-[[#This Row],[Supplier Cost]]</f>
        <v>0</v>
      </c>
    </row>
    <row r="95" spans="6:8" ht="20" customHeight="1">
      <c r="F95" s="6"/>
      <c r="G95" s="6"/>
      <c r="H95" s="7">
        <f>[[#This Row],[Selling Price]]-[[#This Row],[Supplier Cost]]</f>
        <v>0</v>
      </c>
    </row>
    <row r="96" spans="6:8" ht="20" customHeight="1">
      <c r="F96" s="6"/>
      <c r="G96" s="6"/>
      <c r="H96" s="7">
        <f>[[#This Row],[Selling Price]]-[[#This Row],[Supplier Cost]]</f>
        <v>0</v>
      </c>
    </row>
    <row r="97" spans="6:8" ht="20" customHeight="1">
      <c r="F97" s="6"/>
      <c r="G97" s="6"/>
      <c r="H97" s="7">
        <f>[[#This Row],[Selling Price]]-[[#This Row],[Supplier Cost]]</f>
        <v>0</v>
      </c>
    </row>
    <row r="98" spans="6:8" ht="20" customHeight="1">
      <c r="F98" s="6"/>
      <c r="G98" s="6"/>
      <c r="H98" s="7">
        <f>[[#This Row],[Selling Price]]-[[#This Row],[Supplier Cost]]</f>
        <v>0</v>
      </c>
    </row>
    <row r="99" spans="6:8" ht="20" customHeight="1">
      <c r="F99" s="6"/>
      <c r="G99" s="6"/>
      <c r="H99" s="7">
        <f>[[#This Row],[Selling Price]]-[[#This Row],[Supplier Cost]]</f>
        <v>0</v>
      </c>
    </row>
    <row r="100" spans="6:8" ht="20" customHeight="1">
      <c r="F100" s="6"/>
      <c r="G100" s="6"/>
      <c r="H100" s="7">
        <f>[[#This Row],[Selling Price]]-[[#This Row],[Supplier Cost]]</f>
        <v>0</v>
      </c>
    </row>
    <row r="101" spans="6:8" ht="20" customHeight="1">
      <c r="F101" s="6"/>
      <c r="G101" s="6"/>
      <c r="H101" s="7">
        <f>[[#This Row],[Selling Price]]-[[#This Row],[Supplier Cost]]</f>
        <v>0</v>
      </c>
    </row>
    <row r="102" spans="6:8" ht="20" customHeight="1">
      <c r="F102" s="6"/>
      <c r="G102" s="6"/>
      <c r="H102" s="7">
        <f>[[#This Row],[Selling Price]]-[[#This Row],[Supplier Cost]]</f>
        <v>0</v>
      </c>
    </row>
    <row r="103" spans="6:8" ht="20" customHeight="1">
      <c r="F103" s="6"/>
      <c r="G103" s="6"/>
      <c r="H103" s="7">
        <f>[[#This Row],[Selling Price]]-[[#This Row],[Supplier Cost]]</f>
        <v>0</v>
      </c>
    </row>
    <row r="104" spans="6:8" ht="20" customHeight="1">
      <c r="F104" s="6"/>
      <c r="G104" s="6"/>
      <c r="H104" s="7">
        <f>[[#This Row],[Selling Price]]-[[#This Row],[Supplier Cost]]</f>
        <v>0</v>
      </c>
    </row>
  </sheetData>
  <mergeCells count="2">
    <mergeCell ref="A1:L1"/>
    <mergeCell ref="A2:L2"/>
  </mergeCells>
  <dataValidations count="3">
    <dataValidation type="list" allowBlank="1" showInputMessage="1" showErrorMessage="1" errorTitle="Invalid choice" error="Please select a value from the dropdown." promptTitle="Choose from list" sqref="C5:C104">
      <formula1>Lists!$A$2:$A$9</formula1>
    </dataValidation>
    <dataValidation type="list" allowBlank="1" showInputMessage="1" showErrorMessage="1" errorTitle="Invalid choice" error="Please select a value from the dropdown." promptTitle="Choose from list" sqref="D5:D104">
      <formula1>Lists!$B$2:$B$4</formula1>
    </dataValidation>
    <dataValidation type="list" allowBlank="1" showInputMessage="1" showErrorMessage="1" errorTitle="Invalid choice" error="Please select a value from the dropdown." promptTitle="Choose from list" sqref="L5:L104">
      <formula1>Lists!$F$2:$F$3</formula1>
    </dataValidation>
  </dataValidations>
  <hyperlinks>
    <hyperlink ref="E5" r:id="rId1"/>
    <hyperlink ref="E6" r:id="rId2"/>
    <hyperlink ref="E7" r:id="rId3"/>
    <hyperlink ref="E9" r:id="rId4"/>
  </hyperlinks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A9A"/>
  </sheetPr>
  <dimension ref="A1:E106"/>
  <sheetViews>
    <sheetView showGridLines="0" workbookViewId="0">
      <pane ySplit="4" topLeftCell="A5" activePane="bottomLeft" state="frozen"/>
      <selection pane="bottomLeft"/>
    </sheetView>
  </sheetViews>
  <sheetFormatPr defaultRowHeight="20" customHeight="1"/>
  <cols>
    <col min="1" max="1" width="14.7109375" customWidth="1"/>
    <col min="2" max="2" width="20.7109375" customWidth="1"/>
    <col min="3" max="3" width="35.7109375" customWidth="1"/>
    <col min="4" max="4" width="15.7109375" customWidth="1"/>
    <col min="5" max="5" width="20.7109375" customWidth="1"/>
  </cols>
  <sheetData>
    <row r="1" spans="1:5" ht="30" customHeight="1">
      <c r="A1" s="3" t="s">
        <v>203</v>
      </c>
      <c r="B1" s="3"/>
      <c r="C1" s="3"/>
      <c r="D1" s="3"/>
      <c r="E1" s="3"/>
    </row>
    <row r="2" spans="1:5" ht="20" customHeight="1">
      <c r="A2" s="4" t="s">
        <v>204</v>
      </c>
      <c r="B2" s="4"/>
      <c r="C2" s="4"/>
      <c r="D2" s="4"/>
      <c r="E2" s="4"/>
    </row>
    <row r="4" spans="1:5" ht="20" customHeight="1">
      <c r="A4" t="s">
        <v>38</v>
      </c>
      <c r="B4" t="s">
        <v>205</v>
      </c>
      <c r="C4" t="s">
        <v>206</v>
      </c>
      <c r="D4" t="s">
        <v>207</v>
      </c>
      <c r="E4" t="s">
        <v>53</v>
      </c>
    </row>
    <row r="5" spans="1:5" ht="20" customHeight="1">
      <c r="A5" s="5">
        <v>46027</v>
      </c>
      <c r="B5" t="s">
        <v>208</v>
      </c>
      <c r="C5" t="s">
        <v>209</v>
      </c>
      <c r="D5" s="6">
        <v>500</v>
      </c>
      <c r="E5" t="s">
        <v>22</v>
      </c>
    </row>
    <row r="6" spans="1:5" ht="20" customHeight="1">
      <c r="A6" s="5">
        <v>46065</v>
      </c>
      <c r="B6" t="s">
        <v>210</v>
      </c>
      <c r="C6" t="s">
        <v>211</v>
      </c>
      <c r="D6" s="6">
        <v>350</v>
      </c>
      <c r="E6" t="s">
        <v>22</v>
      </c>
    </row>
    <row r="7" spans="1:5" ht="20" customHeight="1">
      <c r="A7" s="5">
        <v>46096</v>
      </c>
      <c r="B7" t="s">
        <v>212</v>
      </c>
      <c r="C7" t="s">
        <v>213</v>
      </c>
      <c r="D7" s="6">
        <v>299</v>
      </c>
      <c r="E7" t="s">
        <v>25</v>
      </c>
    </row>
    <row r="8" spans="1:5" ht="20" customHeight="1">
      <c r="A8" s="5">
        <v>46115</v>
      </c>
      <c r="B8" t="s">
        <v>208</v>
      </c>
      <c r="C8" t="s">
        <v>214</v>
      </c>
      <c r="D8" s="6">
        <v>650</v>
      </c>
      <c r="E8" t="s">
        <v>24</v>
      </c>
    </row>
    <row r="9" spans="1:5" ht="20" customHeight="1">
      <c r="A9" s="5">
        <v>46162</v>
      </c>
      <c r="B9" t="s">
        <v>12</v>
      </c>
      <c r="C9" t="s">
        <v>215</v>
      </c>
      <c r="D9" s="6">
        <v>499</v>
      </c>
      <c r="E9" t="s">
        <v>22</v>
      </c>
    </row>
    <row r="10" spans="1:5" ht="20" customHeight="1">
      <c r="A10" s="5"/>
      <c r="D10" s="6"/>
    </row>
    <row r="11" spans="1:5" ht="20" customHeight="1">
      <c r="A11" s="5"/>
      <c r="D11" s="6"/>
    </row>
    <row r="12" spans="1:5" ht="20" customHeight="1">
      <c r="A12" s="5"/>
      <c r="D12" s="6"/>
    </row>
    <row r="13" spans="1:5" ht="20" customHeight="1">
      <c r="A13" s="5"/>
      <c r="D13" s="6"/>
    </row>
    <row r="14" spans="1:5" ht="20" customHeight="1">
      <c r="A14" s="5"/>
      <c r="D14" s="6"/>
    </row>
    <row r="15" spans="1:5" ht="20" customHeight="1">
      <c r="A15" s="5"/>
      <c r="D15" s="6"/>
    </row>
    <row r="16" spans="1:5" ht="20" customHeight="1">
      <c r="A16" s="5"/>
      <c r="D16" s="6"/>
    </row>
    <row r="17" spans="1:4" ht="20" customHeight="1">
      <c r="A17" s="5"/>
      <c r="D17" s="6"/>
    </row>
    <row r="18" spans="1:4" ht="20" customHeight="1">
      <c r="A18" s="5"/>
      <c r="D18" s="6"/>
    </row>
    <row r="19" spans="1:4" ht="20" customHeight="1">
      <c r="A19" s="5"/>
      <c r="D19" s="6"/>
    </row>
    <row r="20" spans="1:4" ht="20" customHeight="1">
      <c r="A20" s="5"/>
      <c r="D20" s="6"/>
    </row>
    <row r="21" spans="1:4" ht="20" customHeight="1">
      <c r="A21" s="5"/>
      <c r="D21" s="6"/>
    </row>
    <row r="22" spans="1:4" ht="20" customHeight="1">
      <c r="A22" s="5"/>
      <c r="D22" s="6"/>
    </row>
    <row r="23" spans="1:4" ht="20" customHeight="1">
      <c r="A23" s="5"/>
      <c r="D23" s="6"/>
    </row>
    <row r="24" spans="1:4" ht="20" customHeight="1">
      <c r="A24" s="5"/>
      <c r="D24" s="6"/>
    </row>
    <row r="25" spans="1:4" ht="20" customHeight="1">
      <c r="A25" s="5"/>
      <c r="D25" s="6"/>
    </row>
    <row r="26" spans="1:4" ht="20" customHeight="1">
      <c r="A26" s="5"/>
      <c r="D26" s="6"/>
    </row>
    <row r="27" spans="1:4" ht="20" customHeight="1">
      <c r="A27" s="5"/>
      <c r="D27" s="6"/>
    </row>
    <row r="28" spans="1:4" ht="20" customHeight="1">
      <c r="A28" s="5"/>
      <c r="D28" s="6"/>
    </row>
    <row r="29" spans="1:4" ht="20" customHeight="1">
      <c r="A29" s="5"/>
      <c r="D29" s="6"/>
    </row>
    <row r="30" spans="1:4" ht="20" customHeight="1">
      <c r="A30" s="5"/>
      <c r="D30" s="6"/>
    </row>
    <row r="31" spans="1:4" ht="20" customHeight="1">
      <c r="A31" s="5"/>
      <c r="D31" s="6"/>
    </row>
    <row r="32" spans="1:4" ht="20" customHeight="1">
      <c r="A32" s="5"/>
      <c r="D32" s="6"/>
    </row>
    <row r="33" spans="1:4" ht="20" customHeight="1">
      <c r="A33" s="5"/>
      <c r="D33" s="6"/>
    </row>
    <row r="34" spans="1:4" ht="20" customHeight="1">
      <c r="A34" s="5"/>
      <c r="D34" s="6"/>
    </row>
    <row r="35" spans="1:4" ht="20" customHeight="1">
      <c r="A35" s="5"/>
      <c r="D35" s="6"/>
    </row>
    <row r="36" spans="1:4" ht="20" customHeight="1">
      <c r="A36" s="5"/>
      <c r="D36" s="6"/>
    </row>
    <row r="37" spans="1:4" ht="20" customHeight="1">
      <c r="A37" s="5"/>
      <c r="D37" s="6"/>
    </row>
    <row r="38" spans="1:4" ht="20" customHeight="1">
      <c r="A38" s="5"/>
      <c r="D38" s="6"/>
    </row>
    <row r="39" spans="1:4" ht="20" customHeight="1">
      <c r="A39" s="5"/>
      <c r="D39" s="6"/>
    </row>
    <row r="40" spans="1:4" ht="20" customHeight="1">
      <c r="A40" s="5"/>
      <c r="D40" s="6"/>
    </row>
    <row r="41" spans="1:4" ht="20" customHeight="1">
      <c r="A41" s="5"/>
      <c r="D41" s="6"/>
    </row>
    <row r="42" spans="1:4" ht="20" customHeight="1">
      <c r="A42" s="5"/>
      <c r="D42" s="6"/>
    </row>
    <row r="43" spans="1:4" ht="20" customHeight="1">
      <c r="A43" s="5"/>
      <c r="D43" s="6"/>
    </row>
    <row r="44" spans="1:4" ht="20" customHeight="1">
      <c r="A44" s="5"/>
      <c r="D44" s="6"/>
    </row>
    <row r="45" spans="1:4" ht="20" customHeight="1">
      <c r="A45" s="5"/>
      <c r="D45" s="6"/>
    </row>
    <row r="46" spans="1:4" ht="20" customHeight="1">
      <c r="A46" s="5"/>
      <c r="D46" s="6"/>
    </row>
    <row r="47" spans="1:4" ht="20" customHeight="1">
      <c r="A47" s="5"/>
      <c r="D47" s="6"/>
    </row>
    <row r="48" spans="1:4" ht="20" customHeight="1">
      <c r="A48" s="5"/>
      <c r="D48" s="6"/>
    </row>
    <row r="49" spans="1:4" ht="20" customHeight="1">
      <c r="A49" s="5"/>
      <c r="D49" s="6"/>
    </row>
    <row r="50" spans="1:4" ht="20" customHeight="1">
      <c r="A50" s="5"/>
      <c r="D50" s="6"/>
    </row>
    <row r="51" spans="1:4" ht="20" customHeight="1">
      <c r="A51" s="5"/>
      <c r="D51" s="6"/>
    </row>
    <row r="52" spans="1:4" ht="20" customHeight="1">
      <c r="A52" s="5"/>
      <c r="D52" s="6"/>
    </row>
    <row r="53" spans="1:4" ht="20" customHeight="1">
      <c r="A53" s="5"/>
      <c r="D53" s="6"/>
    </row>
    <row r="54" spans="1:4" ht="20" customHeight="1">
      <c r="A54" s="5"/>
      <c r="D54" s="6"/>
    </row>
    <row r="55" spans="1:4" ht="20" customHeight="1">
      <c r="A55" s="5"/>
      <c r="D55" s="6"/>
    </row>
    <row r="56" spans="1:4" ht="20" customHeight="1">
      <c r="A56" s="5"/>
      <c r="D56" s="6"/>
    </row>
    <row r="57" spans="1:4" ht="20" customHeight="1">
      <c r="A57" s="5"/>
      <c r="D57" s="6"/>
    </row>
    <row r="58" spans="1:4" ht="20" customHeight="1">
      <c r="A58" s="5"/>
      <c r="D58" s="6"/>
    </row>
    <row r="59" spans="1:4" ht="20" customHeight="1">
      <c r="A59" s="5"/>
      <c r="D59" s="6"/>
    </row>
    <row r="60" spans="1:4" ht="20" customHeight="1">
      <c r="A60" s="5"/>
      <c r="D60" s="6"/>
    </row>
    <row r="61" spans="1:4" ht="20" customHeight="1">
      <c r="A61" s="5"/>
      <c r="D61" s="6"/>
    </row>
    <row r="62" spans="1:4" ht="20" customHeight="1">
      <c r="A62" s="5"/>
      <c r="D62" s="6"/>
    </row>
    <row r="63" spans="1:4" ht="20" customHeight="1">
      <c r="A63" s="5"/>
      <c r="D63" s="6"/>
    </row>
    <row r="64" spans="1:4" ht="20" customHeight="1">
      <c r="A64" s="5"/>
      <c r="D64" s="6"/>
    </row>
    <row r="65" spans="1:4" ht="20" customHeight="1">
      <c r="A65" s="5"/>
      <c r="D65" s="6"/>
    </row>
    <row r="66" spans="1:4" ht="20" customHeight="1">
      <c r="A66" s="5"/>
      <c r="D66" s="6"/>
    </row>
    <row r="67" spans="1:4" ht="20" customHeight="1">
      <c r="A67" s="5"/>
      <c r="D67" s="6"/>
    </row>
    <row r="68" spans="1:4" ht="20" customHeight="1">
      <c r="A68" s="5"/>
      <c r="D68" s="6"/>
    </row>
    <row r="69" spans="1:4" ht="20" customHeight="1">
      <c r="A69" s="5"/>
      <c r="D69" s="6"/>
    </row>
    <row r="70" spans="1:4" ht="20" customHeight="1">
      <c r="A70" s="5"/>
      <c r="D70" s="6"/>
    </row>
    <row r="71" spans="1:4" ht="20" customHeight="1">
      <c r="A71" s="5"/>
      <c r="D71" s="6"/>
    </row>
    <row r="72" spans="1:4" ht="20" customHeight="1">
      <c r="A72" s="5"/>
      <c r="D72" s="6"/>
    </row>
    <row r="73" spans="1:4" ht="20" customHeight="1">
      <c r="A73" s="5"/>
      <c r="D73" s="6"/>
    </row>
    <row r="74" spans="1:4" ht="20" customHeight="1">
      <c r="A74" s="5"/>
      <c r="D74" s="6"/>
    </row>
    <row r="75" spans="1:4" ht="20" customHeight="1">
      <c r="A75" s="5"/>
      <c r="D75" s="6"/>
    </row>
    <row r="76" spans="1:4" ht="20" customHeight="1">
      <c r="A76" s="5"/>
      <c r="D76" s="6"/>
    </row>
    <row r="77" spans="1:4" ht="20" customHeight="1">
      <c r="A77" s="5"/>
      <c r="D77" s="6"/>
    </row>
    <row r="78" spans="1:4" ht="20" customHeight="1">
      <c r="A78" s="5"/>
      <c r="D78" s="6"/>
    </row>
    <row r="79" spans="1:4" ht="20" customHeight="1">
      <c r="A79" s="5"/>
      <c r="D79" s="6"/>
    </row>
    <row r="80" spans="1:4" ht="20" customHeight="1">
      <c r="A80" s="5"/>
      <c r="D80" s="6"/>
    </row>
    <row r="81" spans="1:4" ht="20" customHeight="1">
      <c r="A81" s="5"/>
      <c r="D81" s="6"/>
    </row>
    <row r="82" spans="1:4" ht="20" customHeight="1">
      <c r="A82" s="5"/>
      <c r="D82" s="6"/>
    </row>
    <row r="83" spans="1:4" ht="20" customHeight="1">
      <c r="A83" s="5"/>
      <c r="D83" s="6"/>
    </row>
    <row r="84" spans="1:4" ht="20" customHeight="1">
      <c r="A84" s="5"/>
      <c r="D84" s="6"/>
    </row>
    <row r="85" spans="1:4" ht="20" customHeight="1">
      <c r="A85" s="5"/>
      <c r="D85" s="6"/>
    </row>
    <row r="86" spans="1:4" ht="20" customHeight="1">
      <c r="A86" s="5"/>
      <c r="D86" s="6"/>
    </row>
    <row r="87" spans="1:4" ht="20" customHeight="1">
      <c r="A87" s="5"/>
      <c r="D87" s="6"/>
    </row>
    <row r="88" spans="1:4" ht="20" customHeight="1">
      <c r="A88" s="5"/>
      <c r="D88" s="6"/>
    </row>
    <row r="89" spans="1:4" ht="20" customHeight="1">
      <c r="A89" s="5"/>
      <c r="D89" s="6"/>
    </row>
    <row r="90" spans="1:4" ht="20" customHeight="1">
      <c r="A90" s="5"/>
      <c r="D90" s="6"/>
    </row>
    <row r="91" spans="1:4" ht="20" customHeight="1">
      <c r="A91" s="5"/>
      <c r="D91" s="6"/>
    </row>
    <row r="92" spans="1:4" ht="20" customHeight="1">
      <c r="A92" s="5"/>
      <c r="D92" s="6"/>
    </row>
    <row r="93" spans="1:4" ht="20" customHeight="1">
      <c r="A93" s="5"/>
      <c r="D93" s="6"/>
    </row>
    <row r="94" spans="1:4" ht="20" customHeight="1">
      <c r="A94" s="5"/>
      <c r="D94" s="6"/>
    </row>
    <row r="95" spans="1:4" ht="20" customHeight="1">
      <c r="A95" s="5"/>
      <c r="D95" s="6"/>
    </row>
    <row r="96" spans="1:4" ht="20" customHeight="1">
      <c r="A96" s="5"/>
      <c r="D96" s="6"/>
    </row>
    <row r="97" spans="1:4" ht="20" customHeight="1">
      <c r="A97" s="5"/>
      <c r="D97" s="6"/>
    </row>
    <row r="98" spans="1:4" ht="20" customHeight="1">
      <c r="A98" s="5"/>
      <c r="D98" s="6"/>
    </row>
    <row r="99" spans="1:4" ht="20" customHeight="1">
      <c r="A99" s="5"/>
      <c r="D99" s="6"/>
    </row>
    <row r="100" spans="1:4" ht="20" customHeight="1">
      <c r="A100" s="5"/>
      <c r="D100" s="6"/>
    </row>
    <row r="101" spans="1:4" ht="20" customHeight="1">
      <c r="A101" s="5"/>
      <c r="D101" s="6"/>
    </row>
    <row r="102" spans="1:4" ht="20" customHeight="1">
      <c r="A102" s="5"/>
      <c r="D102" s="6"/>
    </row>
    <row r="103" spans="1:4" ht="20" customHeight="1">
      <c r="A103" s="5"/>
      <c r="D103" s="6"/>
    </row>
    <row r="104" spans="1:4" ht="20" customHeight="1">
      <c r="A104" s="5"/>
      <c r="D104" s="6"/>
    </row>
    <row r="106" spans="1:4" ht="20" customHeight="1">
      <c r="A106" s="9" t="s">
        <v>216</v>
      </c>
      <c r="D106" s="10">
        <f>SUM(ExpensesTable[Amount])</f>
        <v>2298</v>
      </c>
    </row>
  </sheetData>
  <mergeCells count="2">
    <mergeCell ref="A1:E1"/>
    <mergeCell ref="A2:E2"/>
  </mergeCells>
  <dataValidations count="1">
    <dataValidation type="list" allowBlank="1" showInputMessage="1" showErrorMessage="1" errorTitle="Invalid choice" error="Please select a value from the dropdown." promptTitle="Choose from list" sqref="E5:E104">
      <formula1>Lists!$E$2:$E$6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A9A"/>
  </sheetPr>
  <dimension ref="A1:I104"/>
  <sheetViews>
    <sheetView showGridLines="0" workbookViewId="0">
      <pane ySplit="4" topLeftCell="A5" activePane="bottomLeft" state="frozen"/>
      <selection pane="bottomLeft"/>
    </sheetView>
  </sheetViews>
  <sheetFormatPr defaultRowHeight="20" customHeight="1"/>
  <cols>
    <col min="1" max="1" width="22.7109375" customWidth="1"/>
    <col min="2" max="2" width="16.7109375" customWidth="1"/>
    <col min="3" max="3" width="22.7109375" customWidth="1"/>
    <col min="4" max="5" width="16.7109375" customWidth="1"/>
    <col min="6" max="6" width="14.7109375" customWidth="1"/>
    <col min="7" max="8" width="16.7109375" customWidth="1"/>
    <col min="9" max="9" width="23.7109375" customWidth="1"/>
  </cols>
  <sheetData>
    <row r="1" spans="1:9" ht="30" customHeight="1">
      <c r="A1" s="3" t="s">
        <v>217</v>
      </c>
      <c r="B1" s="3"/>
      <c r="C1" s="3"/>
      <c r="D1" s="3"/>
      <c r="E1" s="3"/>
      <c r="F1" s="3"/>
      <c r="G1" s="3"/>
      <c r="H1" s="3"/>
      <c r="I1" s="3"/>
    </row>
    <row r="2" spans="1:9" ht="20" customHeight="1">
      <c r="A2" s="4" t="s">
        <v>218</v>
      </c>
      <c r="B2" s="4"/>
      <c r="C2" s="4"/>
      <c r="D2" s="4"/>
      <c r="E2" s="4"/>
      <c r="F2" s="4"/>
      <c r="G2" s="4"/>
      <c r="H2" s="4"/>
      <c r="I2" s="4"/>
    </row>
    <row r="4" spans="1:9" ht="20" customHeight="1">
      <c r="A4" t="s">
        <v>39</v>
      </c>
      <c r="B4" t="s">
        <v>219</v>
      </c>
      <c r="C4" t="s">
        <v>220</v>
      </c>
      <c r="D4" t="s">
        <v>221</v>
      </c>
      <c r="E4" t="s">
        <v>222</v>
      </c>
      <c r="F4" t="s">
        <v>223</v>
      </c>
      <c r="G4" t="s">
        <v>224</v>
      </c>
      <c r="H4" t="s">
        <v>225</v>
      </c>
      <c r="I4" t="s">
        <v>226</v>
      </c>
    </row>
    <row r="5" spans="1:9" ht="20" customHeight="1">
      <c r="A5" t="s">
        <v>59</v>
      </c>
      <c r="B5" t="s">
        <v>60</v>
      </c>
      <c r="C5" t="s">
        <v>61</v>
      </c>
      <c r="D5" s="5">
        <f>IFERROR(_xlfn.MINIFS(OrdersTable[Date],OrdersTable[Phone Number],[[#This Row],Phone]),"")</f>
        <v>0</v>
      </c>
      <c r="E5" s="5">
        <f>IFERROR(_xlfn.MAXIFS(OrdersTable[Date],OrdersTable[Phone Number],[[#This Row],Phone]),"")</f>
        <v>0</v>
      </c>
      <c r="F5" s="11">
        <f>COUNTIF(OrdersTable[Phone Number],[[#This Row],Phone])</f>
        <v>0</v>
      </c>
      <c r="G5" s="6">
        <f>SUMIF(OrdersTable[Phone Number],[[#This Row],Phone],OrdersTable[Selling Price])</f>
        <v>0</v>
      </c>
      <c r="H5" s="6">
        <f>SUMIF(OrdersTable[Phone Number],[[#This Row],Phone],OrdersTable[Profit])</f>
        <v>0</v>
      </c>
      <c r="I5">
        <f>IF([[#This Row],[Total Orders]]&gt;1,"Yes","No")</f>
        <v>0</v>
      </c>
    </row>
    <row r="6" spans="1:9" ht="20" customHeight="1">
      <c r="A6" t="s">
        <v>71</v>
      </c>
      <c r="B6" t="s">
        <v>72</v>
      </c>
      <c r="C6" t="s">
        <v>73</v>
      </c>
      <c r="D6" s="5">
        <f>IFERROR(_xlfn.MINIFS(OrdersTable[Date],OrdersTable[Phone Number],[[#This Row],Phone]),"")</f>
        <v>0</v>
      </c>
      <c r="E6" s="5">
        <f>IFERROR(_xlfn.MAXIFS(OrdersTable[Date],OrdersTable[Phone Number],[[#This Row],Phone]),"")</f>
        <v>0</v>
      </c>
      <c r="F6" s="11">
        <f>COUNTIF(OrdersTable[Phone Number],[[#This Row],Phone])</f>
        <v>0</v>
      </c>
      <c r="G6" s="6">
        <f>SUMIF(OrdersTable[Phone Number],[[#This Row],Phone],OrdersTable[Selling Price])</f>
        <v>0</v>
      </c>
      <c r="H6" s="6">
        <f>SUMIF(OrdersTable[Phone Number],[[#This Row],Phone],OrdersTable[Profit])</f>
        <v>0</v>
      </c>
      <c r="I6">
        <f>IF([[#This Row],[Total Orders]]&gt;1,"Yes","No")</f>
        <v>0</v>
      </c>
    </row>
    <row r="7" spans="1:9" ht="20" customHeight="1">
      <c r="A7" t="s">
        <v>81</v>
      </c>
      <c r="B7" t="s">
        <v>82</v>
      </c>
      <c r="C7" t="s">
        <v>83</v>
      </c>
      <c r="D7" s="5">
        <f>IFERROR(_xlfn.MINIFS(OrdersTable[Date],OrdersTable[Phone Number],[[#This Row],Phone]),"")</f>
        <v>0</v>
      </c>
      <c r="E7" s="5">
        <f>IFERROR(_xlfn.MAXIFS(OrdersTable[Date],OrdersTable[Phone Number],[[#This Row],Phone]),"")</f>
        <v>0</v>
      </c>
      <c r="F7" s="11">
        <f>COUNTIF(OrdersTable[Phone Number],[[#This Row],Phone])</f>
        <v>0</v>
      </c>
      <c r="G7" s="6">
        <f>SUMIF(OrdersTable[Phone Number],[[#This Row],Phone],OrdersTable[Selling Price])</f>
        <v>0</v>
      </c>
      <c r="H7" s="6">
        <f>SUMIF(OrdersTable[Phone Number],[[#This Row],Phone],OrdersTable[Profit])</f>
        <v>0</v>
      </c>
      <c r="I7">
        <f>IF([[#This Row],[Total Orders]]&gt;1,"Yes","No")</f>
        <v>0</v>
      </c>
    </row>
    <row r="8" spans="1:9" ht="20" customHeight="1">
      <c r="A8" t="s">
        <v>92</v>
      </c>
      <c r="B8" t="s">
        <v>93</v>
      </c>
      <c r="C8" t="s">
        <v>94</v>
      </c>
      <c r="D8" s="5">
        <f>IFERROR(_xlfn.MINIFS(OrdersTable[Date],OrdersTable[Phone Number],[[#This Row],Phone]),"")</f>
        <v>0</v>
      </c>
      <c r="E8" s="5">
        <f>IFERROR(_xlfn.MAXIFS(OrdersTable[Date],OrdersTable[Phone Number],[[#This Row],Phone]),"")</f>
        <v>0</v>
      </c>
      <c r="F8" s="11">
        <f>COUNTIF(OrdersTable[Phone Number],[[#This Row],Phone])</f>
        <v>0</v>
      </c>
      <c r="G8" s="6">
        <f>SUMIF(OrdersTable[Phone Number],[[#This Row],Phone],OrdersTable[Selling Price])</f>
        <v>0</v>
      </c>
      <c r="H8" s="6">
        <f>SUMIF(OrdersTable[Phone Number],[[#This Row],Phone],OrdersTable[Profit])</f>
        <v>0</v>
      </c>
      <c r="I8">
        <f>IF([[#This Row],[Total Orders]]&gt;1,"Yes","No")</f>
        <v>0</v>
      </c>
    </row>
    <row r="9" spans="1:9" ht="20" customHeight="1">
      <c r="A9" t="s">
        <v>102</v>
      </c>
      <c r="B9" t="s">
        <v>103</v>
      </c>
      <c r="C9" t="s">
        <v>104</v>
      </c>
      <c r="D9" s="5">
        <f>IFERROR(_xlfn.MINIFS(OrdersTable[Date],OrdersTable[Phone Number],[[#This Row],Phone]),"")</f>
        <v>0</v>
      </c>
      <c r="E9" s="5">
        <f>IFERROR(_xlfn.MAXIFS(OrdersTable[Date],OrdersTable[Phone Number],[[#This Row],Phone]),"")</f>
        <v>0</v>
      </c>
      <c r="F9" s="11">
        <f>COUNTIF(OrdersTable[Phone Number],[[#This Row],Phone])</f>
        <v>0</v>
      </c>
      <c r="G9" s="6">
        <f>SUMIF(OrdersTable[Phone Number],[[#This Row],Phone],OrdersTable[Selling Price])</f>
        <v>0</v>
      </c>
      <c r="H9" s="6">
        <f>SUMIF(OrdersTable[Phone Number],[[#This Row],Phone],OrdersTable[Profit])</f>
        <v>0</v>
      </c>
      <c r="I9">
        <f>IF([[#This Row],[Total Orders]]&gt;1,"Yes","No")</f>
        <v>0</v>
      </c>
    </row>
    <row r="10" spans="1:9" ht="20" customHeight="1">
      <c r="A10" t="s">
        <v>127</v>
      </c>
      <c r="B10" t="s">
        <v>128</v>
      </c>
      <c r="C10" t="s">
        <v>129</v>
      </c>
      <c r="D10" s="5">
        <f>IFERROR(_xlfn.MINIFS(OrdersTable[Date],OrdersTable[Phone Number],[[#This Row],Phone]),"")</f>
        <v>0</v>
      </c>
      <c r="E10" s="5">
        <f>IFERROR(_xlfn.MAXIFS(OrdersTable[Date],OrdersTable[Phone Number],[[#This Row],Phone]),"")</f>
        <v>0</v>
      </c>
      <c r="F10" s="11">
        <f>COUNTIF(OrdersTable[Phone Number],[[#This Row],Phone])</f>
        <v>0</v>
      </c>
      <c r="G10" s="6">
        <f>SUMIF(OrdersTable[Phone Number],[[#This Row],Phone],OrdersTable[Selling Price])</f>
        <v>0</v>
      </c>
      <c r="H10" s="6">
        <f>SUMIF(OrdersTable[Phone Number],[[#This Row],Phone],OrdersTable[Profit])</f>
        <v>0</v>
      </c>
      <c r="I10">
        <f>IF([[#This Row],[Total Orders]]&gt;1,"Yes","No")</f>
        <v>0</v>
      </c>
    </row>
    <row r="11" spans="1:9" ht="20" customHeight="1">
      <c r="D11" s="5">
        <f>IFERROR(_xlfn.MINIFS(OrdersTable[Date],OrdersTable[Phone Number],[[#This Row],Phone]),"")</f>
        <v>0</v>
      </c>
      <c r="E11" s="5">
        <f>IFERROR(_xlfn.MAXIFS(OrdersTable[Date],OrdersTable[Phone Number],[[#This Row],Phone]),"")</f>
        <v>0</v>
      </c>
      <c r="F11" s="11">
        <f>COUNTIF(OrdersTable[Phone Number],[[#This Row],Phone])</f>
        <v>0</v>
      </c>
      <c r="G11" s="6">
        <f>SUMIF(OrdersTable[Phone Number],[[#This Row],Phone],OrdersTable[Selling Price])</f>
        <v>0</v>
      </c>
      <c r="H11" s="6">
        <f>SUMIF(OrdersTable[Phone Number],[[#This Row],Phone],OrdersTable[Profit])</f>
        <v>0</v>
      </c>
      <c r="I11">
        <f>IF([[#This Row],[Total Orders]]&gt;1,"Yes","No")</f>
        <v>0</v>
      </c>
    </row>
    <row r="12" spans="1:9" ht="20" customHeight="1">
      <c r="D12" s="5">
        <f>IFERROR(_xlfn.MINIFS(OrdersTable[Date],OrdersTable[Phone Number],[[#This Row],Phone]),"")</f>
        <v>0</v>
      </c>
      <c r="E12" s="5">
        <f>IFERROR(_xlfn.MAXIFS(OrdersTable[Date],OrdersTable[Phone Number],[[#This Row],Phone]),"")</f>
        <v>0</v>
      </c>
      <c r="F12" s="11">
        <f>COUNTIF(OrdersTable[Phone Number],[[#This Row],Phone])</f>
        <v>0</v>
      </c>
      <c r="G12" s="6">
        <f>SUMIF(OrdersTable[Phone Number],[[#This Row],Phone],OrdersTable[Selling Price])</f>
        <v>0</v>
      </c>
      <c r="H12" s="6">
        <f>SUMIF(OrdersTable[Phone Number],[[#This Row],Phone],OrdersTable[Profit])</f>
        <v>0</v>
      </c>
      <c r="I12">
        <f>IF([[#This Row],[Total Orders]]&gt;1,"Yes","No")</f>
        <v>0</v>
      </c>
    </row>
    <row r="13" spans="1:9" ht="20" customHeight="1">
      <c r="D13" s="5">
        <f>IFERROR(_xlfn.MINIFS(OrdersTable[Date],OrdersTable[Phone Number],[[#This Row],Phone]),"")</f>
        <v>0</v>
      </c>
      <c r="E13" s="5">
        <f>IFERROR(_xlfn.MAXIFS(OrdersTable[Date],OrdersTable[Phone Number],[[#This Row],Phone]),"")</f>
        <v>0</v>
      </c>
      <c r="F13" s="11">
        <f>COUNTIF(OrdersTable[Phone Number],[[#This Row],Phone])</f>
        <v>0</v>
      </c>
      <c r="G13" s="6">
        <f>SUMIF(OrdersTable[Phone Number],[[#This Row],Phone],OrdersTable[Selling Price])</f>
        <v>0</v>
      </c>
      <c r="H13" s="6">
        <f>SUMIF(OrdersTable[Phone Number],[[#This Row],Phone],OrdersTable[Profit])</f>
        <v>0</v>
      </c>
      <c r="I13">
        <f>IF([[#This Row],[Total Orders]]&gt;1,"Yes","No")</f>
        <v>0</v>
      </c>
    </row>
    <row r="14" spans="1:9" ht="20" customHeight="1">
      <c r="D14" s="5">
        <f>IFERROR(_xlfn.MINIFS(OrdersTable[Date],OrdersTable[Phone Number],[[#This Row],Phone]),"")</f>
        <v>0</v>
      </c>
      <c r="E14" s="5">
        <f>IFERROR(_xlfn.MAXIFS(OrdersTable[Date],OrdersTable[Phone Number],[[#This Row],Phone]),"")</f>
        <v>0</v>
      </c>
      <c r="F14" s="11">
        <f>COUNTIF(OrdersTable[Phone Number],[[#This Row],Phone])</f>
        <v>0</v>
      </c>
      <c r="G14" s="6">
        <f>SUMIF(OrdersTable[Phone Number],[[#This Row],Phone],OrdersTable[Selling Price])</f>
        <v>0</v>
      </c>
      <c r="H14" s="6">
        <f>SUMIF(OrdersTable[Phone Number],[[#This Row],Phone],OrdersTable[Profit])</f>
        <v>0</v>
      </c>
      <c r="I14">
        <f>IF([[#This Row],[Total Orders]]&gt;1,"Yes","No")</f>
        <v>0</v>
      </c>
    </row>
    <row r="15" spans="1:9" ht="20" customHeight="1">
      <c r="D15" s="5">
        <f>IFERROR(_xlfn.MINIFS(OrdersTable[Date],OrdersTable[Phone Number],[[#This Row],Phone]),"")</f>
        <v>0</v>
      </c>
      <c r="E15" s="5">
        <f>IFERROR(_xlfn.MAXIFS(OrdersTable[Date],OrdersTable[Phone Number],[[#This Row],Phone]),"")</f>
        <v>0</v>
      </c>
      <c r="F15" s="11">
        <f>COUNTIF(OrdersTable[Phone Number],[[#This Row],Phone])</f>
        <v>0</v>
      </c>
      <c r="G15" s="6">
        <f>SUMIF(OrdersTable[Phone Number],[[#This Row],Phone],OrdersTable[Selling Price])</f>
        <v>0</v>
      </c>
      <c r="H15" s="6">
        <f>SUMIF(OrdersTable[Phone Number],[[#This Row],Phone],OrdersTable[Profit])</f>
        <v>0</v>
      </c>
      <c r="I15">
        <f>IF([[#This Row],[Total Orders]]&gt;1,"Yes","No")</f>
        <v>0</v>
      </c>
    </row>
    <row r="16" spans="1:9" ht="20" customHeight="1">
      <c r="D16" s="5">
        <f>IFERROR(_xlfn.MINIFS(OrdersTable[Date],OrdersTable[Phone Number],[[#This Row],Phone]),"")</f>
        <v>0</v>
      </c>
      <c r="E16" s="5">
        <f>IFERROR(_xlfn.MAXIFS(OrdersTable[Date],OrdersTable[Phone Number],[[#This Row],Phone]),"")</f>
        <v>0</v>
      </c>
      <c r="F16" s="11">
        <f>COUNTIF(OrdersTable[Phone Number],[[#This Row],Phone])</f>
        <v>0</v>
      </c>
      <c r="G16" s="6">
        <f>SUMIF(OrdersTable[Phone Number],[[#This Row],Phone],OrdersTable[Selling Price])</f>
        <v>0</v>
      </c>
      <c r="H16" s="6">
        <f>SUMIF(OrdersTable[Phone Number],[[#This Row],Phone],OrdersTable[Profit])</f>
        <v>0</v>
      </c>
      <c r="I16">
        <f>IF([[#This Row],[Total Orders]]&gt;1,"Yes","No")</f>
        <v>0</v>
      </c>
    </row>
    <row r="17" spans="4:9" ht="20" customHeight="1">
      <c r="D17" s="5">
        <f>IFERROR(_xlfn.MINIFS(OrdersTable[Date],OrdersTable[Phone Number],[[#This Row],Phone]),"")</f>
        <v>0</v>
      </c>
      <c r="E17" s="5">
        <f>IFERROR(_xlfn.MAXIFS(OrdersTable[Date],OrdersTable[Phone Number],[[#This Row],Phone]),"")</f>
        <v>0</v>
      </c>
      <c r="F17" s="11">
        <f>COUNTIF(OrdersTable[Phone Number],[[#This Row],Phone])</f>
        <v>0</v>
      </c>
      <c r="G17" s="6">
        <f>SUMIF(OrdersTable[Phone Number],[[#This Row],Phone],OrdersTable[Selling Price])</f>
        <v>0</v>
      </c>
      <c r="H17" s="6">
        <f>SUMIF(OrdersTable[Phone Number],[[#This Row],Phone],OrdersTable[Profit])</f>
        <v>0</v>
      </c>
      <c r="I17">
        <f>IF([[#This Row],[Total Orders]]&gt;1,"Yes","No")</f>
        <v>0</v>
      </c>
    </row>
    <row r="18" spans="4:9" ht="20" customHeight="1">
      <c r="D18" s="5">
        <f>IFERROR(_xlfn.MINIFS(OrdersTable[Date],OrdersTable[Phone Number],[[#This Row],Phone]),"")</f>
        <v>0</v>
      </c>
      <c r="E18" s="5">
        <f>IFERROR(_xlfn.MAXIFS(OrdersTable[Date],OrdersTable[Phone Number],[[#This Row],Phone]),"")</f>
        <v>0</v>
      </c>
      <c r="F18" s="11">
        <f>COUNTIF(OrdersTable[Phone Number],[[#This Row],Phone])</f>
        <v>0</v>
      </c>
      <c r="G18" s="6">
        <f>SUMIF(OrdersTable[Phone Number],[[#This Row],Phone],OrdersTable[Selling Price])</f>
        <v>0</v>
      </c>
      <c r="H18" s="6">
        <f>SUMIF(OrdersTable[Phone Number],[[#This Row],Phone],OrdersTable[Profit])</f>
        <v>0</v>
      </c>
      <c r="I18">
        <f>IF([[#This Row],[Total Orders]]&gt;1,"Yes","No")</f>
        <v>0</v>
      </c>
    </row>
    <row r="19" spans="4:9" ht="20" customHeight="1">
      <c r="D19" s="5">
        <f>IFERROR(_xlfn.MINIFS(OrdersTable[Date],OrdersTable[Phone Number],[[#This Row],Phone]),"")</f>
        <v>0</v>
      </c>
      <c r="E19" s="5">
        <f>IFERROR(_xlfn.MAXIFS(OrdersTable[Date],OrdersTable[Phone Number],[[#This Row],Phone]),"")</f>
        <v>0</v>
      </c>
      <c r="F19" s="11">
        <f>COUNTIF(OrdersTable[Phone Number],[[#This Row],Phone])</f>
        <v>0</v>
      </c>
      <c r="G19" s="6">
        <f>SUMIF(OrdersTable[Phone Number],[[#This Row],Phone],OrdersTable[Selling Price])</f>
        <v>0</v>
      </c>
      <c r="H19" s="6">
        <f>SUMIF(OrdersTable[Phone Number],[[#This Row],Phone],OrdersTable[Profit])</f>
        <v>0</v>
      </c>
      <c r="I19">
        <f>IF([[#This Row],[Total Orders]]&gt;1,"Yes","No")</f>
        <v>0</v>
      </c>
    </row>
    <row r="20" spans="4:9" ht="20" customHeight="1">
      <c r="D20" s="5">
        <f>IFERROR(_xlfn.MINIFS(OrdersTable[Date],OrdersTable[Phone Number],[[#This Row],Phone]),"")</f>
        <v>0</v>
      </c>
      <c r="E20" s="5">
        <f>IFERROR(_xlfn.MAXIFS(OrdersTable[Date],OrdersTable[Phone Number],[[#This Row],Phone]),"")</f>
        <v>0</v>
      </c>
      <c r="F20" s="11">
        <f>COUNTIF(OrdersTable[Phone Number],[[#This Row],Phone])</f>
        <v>0</v>
      </c>
      <c r="G20" s="6">
        <f>SUMIF(OrdersTable[Phone Number],[[#This Row],Phone],OrdersTable[Selling Price])</f>
        <v>0</v>
      </c>
      <c r="H20" s="6">
        <f>SUMIF(OrdersTable[Phone Number],[[#This Row],Phone],OrdersTable[Profit])</f>
        <v>0</v>
      </c>
      <c r="I20">
        <f>IF([[#This Row],[Total Orders]]&gt;1,"Yes","No")</f>
        <v>0</v>
      </c>
    </row>
    <row r="21" spans="4:9" ht="20" customHeight="1">
      <c r="D21" s="5">
        <f>IFERROR(_xlfn.MINIFS(OrdersTable[Date],OrdersTable[Phone Number],[[#This Row],Phone]),"")</f>
        <v>0</v>
      </c>
      <c r="E21" s="5">
        <f>IFERROR(_xlfn.MAXIFS(OrdersTable[Date],OrdersTable[Phone Number],[[#This Row],Phone]),"")</f>
        <v>0</v>
      </c>
      <c r="F21" s="11">
        <f>COUNTIF(OrdersTable[Phone Number],[[#This Row],Phone])</f>
        <v>0</v>
      </c>
      <c r="G21" s="6">
        <f>SUMIF(OrdersTable[Phone Number],[[#This Row],Phone],OrdersTable[Selling Price])</f>
        <v>0</v>
      </c>
      <c r="H21" s="6">
        <f>SUMIF(OrdersTable[Phone Number],[[#This Row],Phone],OrdersTable[Profit])</f>
        <v>0</v>
      </c>
      <c r="I21">
        <f>IF([[#This Row],[Total Orders]]&gt;1,"Yes","No")</f>
        <v>0</v>
      </c>
    </row>
    <row r="22" spans="4:9" ht="20" customHeight="1">
      <c r="D22" s="5">
        <f>IFERROR(_xlfn.MINIFS(OrdersTable[Date],OrdersTable[Phone Number],[[#This Row],Phone]),"")</f>
        <v>0</v>
      </c>
      <c r="E22" s="5">
        <f>IFERROR(_xlfn.MAXIFS(OrdersTable[Date],OrdersTable[Phone Number],[[#This Row],Phone]),"")</f>
        <v>0</v>
      </c>
      <c r="F22" s="11">
        <f>COUNTIF(OrdersTable[Phone Number],[[#This Row],Phone])</f>
        <v>0</v>
      </c>
      <c r="G22" s="6">
        <f>SUMIF(OrdersTable[Phone Number],[[#This Row],Phone],OrdersTable[Selling Price])</f>
        <v>0</v>
      </c>
      <c r="H22" s="6">
        <f>SUMIF(OrdersTable[Phone Number],[[#This Row],Phone],OrdersTable[Profit])</f>
        <v>0</v>
      </c>
      <c r="I22">
        <f>IF([[#This Row],[Total Orders]]&gt;1,"Yes","No")</f>
        <v>0</v>
      </c>
    </row>
    <row r="23" spans="4:9" ht="20" customHeight="1">
      <c r="D23" s="5">
        <f>IFERROR(_xlfn.MINIFS(OrdersTable[Date],OrdersTable[Phone Number],[[#This Row],Phone]),"")</f>
        <v>0</v>
      </c>
      <c r="E23" s="5">
        <f>IFERROR(_xlfn.MAXIFS(OrdersTable[Date],OrdersTable[Phone Number],[[#This Row],Phone]),"")</f>
        <v>0</v>
      </c>
      <c r="F23" s="11">
        <f>COUNTIF(OrdersTable[Phone Number],[[#This Row],Phone])</f>
        <v>0</v>
      </c>
      <c r="G23" s="6">
        <f>SUMIF(OrdersTable[Phone Number],[[#This Row],Phone],OrdersTable[Selling Price])</f>
        <v>0</v>
      </c>
      <c r="H23" s="6">
        <f>SUMIF(OrdersTable[Phone Number],[[#This Row],Phone],OrdersTable[Profit])</f>
        <v>0</v>
      </c>
      <c r="I23">
        <f>IF([[#This Row],[Total Orders]]&gt;1,"Yes","No")</f>
        <v>0</v>
      </c>
    </row>
    <row r="24" spans="4:9" ht="20" customHeight="1">
      <c r="D24" s="5">
        <f>IFERROR(_xlfn.MINIFS(OrdersTable[Date],OrdersTable[Phone Number],[[#This Row],Phone]),"")</f>
        <v>0</v>
      </c>
      <c r="E24" s="5">
        <f>IFERROR(_xlfn.MAXIFS(OrdersTable[Date],OrdersTable[Phone Number],[[#This Row],Phone]),"")</f>
        <v>0</v>
      </c>
      <c r="F24" s="11">
        <f>COUNTIF(OrdersTable[Phone Number],[[#This Row],Phone])</f>
        <v>0</v>
      </c>
      <c r="G24" s="6">
        <f>SUMIF(OrdersTable[Phone Number],[[#This Row],Phone],OrdersTable[Selling Price])</f>
        <v>0</v>
      </c>
      <c r="H24" s="6">
        <f>SUMIF(OrdersTable[Phone Number],[[#This Row],Phone],OrdersTable[Profit])</f>
        <v>0</v>
      </c>
      <c r="I24">
        <f>IF([[#This Row],[Total Orders]]&gt;1,"Yes","No")</f>
        <v>0</v>
      </c>
    </row>
    <row r="25" spans="4:9" ht="20" customHeight="1">
      <c r="D25" s="5">
        <f>IFERROR(_xlfn.MINIFS(OrdersTable[Date],OrdersTable[Phone Number],[[#This Row],Phone]),"")</f>
        <v>0</v>
      </c>
      <c r="E25" s="5">
        <f>IFERROR(_xlfn.MAXIFS(OrdersTable[Date],OrdersTable[Phone Number],[[#This Row],Phone]),"")</f>
        <v>0</v>
      </c>
      <c r="F25" s="11">
        <f>COUNTIF(OrdersTable[Phone Number],[[#This Row],Phone])</f>
        <v>0</v>
      </c>
      <c r="G25" s="6">
        <f>SUMIF(OrdersTable[Phone Number],[[#This Row],Phone],OrdersTable[Selling Price])</f>
        <v>0</v>
      </c>
      <c r="H25" s="6">
        <f>SUMIF(OrdersTable[Phone Number],[[#This Row],Phone],OrdersTable[Profit])</f>
        <v>0</v>
      </c>
      <c r="I25">
        <f>IF([[#This Row],[Total Orders]]&gt;1,"Yes","No")</f>
        <v>0</v>
      </c>
    </row>
    <row r="26" spans="4:9" ht="20" customHeight="1">
      <c r="D26" s="5">
        <f>IFERROR(_xlfn.MINIFS(OrdersTable[Date],OrdersTable[Phone Number],[[#This Row],Phone]),"")</f>
        <v>0</v>
      </c>
      <c r="E26" s="5">
        <f>IFERROR(_xlfn.MAXIFS(OrdersTable[Date],OrdersTable[Phone Number],[[#This Row],Phone]),"")</f>
        <v>0</v>
      </c>
      <c r="F26" s="11">
        <f>COUNTIF(OrdersTable[Phone Number],[[#This Row],Phone])</f>
        <v>0</v>
      </c>
      <c r="G26" s="6">
        <f>SUMIF(OrdersTable[Phone Number],[[#This Row],Phone],OrdersTable[Selling Price])</f>
        <v>0</v>
      </c>
      <c r="H26" s="6">
        <f>SUMIF(OrdersTable[Phone Number],[[#This Row],Phone],OrdersTable[Profit])</f>
        <v>0</v>
      </c>
      <c r="I26">
        <f>IF([[#This Row],[Total Orders]]&gt;1,"Yes","No")</f>
        <v>0</v>
      </c>
    </row>
    <row r="27" spans="4:9" ht="20" customHeight="1">
      <c r="D27" s="5">
        <f>IFERROR(_xlfn.MINIFS(OrdersTable[Date],OrdersTable[Phone Number],[[#This Row],Phone]),"")</f>
        <v>0</v>
      </c>
      <c r="E27" s="5">
        <f>IFERROR(_xlfn.MAXIFS(OrdersTable[Date],OrdersTable[Phone Number],[[#This Row],Phone]),"")</f>
        <v>0</v>
      </c>
      <c r="F27" s="11">
        <f>COUNTIF(OrdersTable[Phone Number],[[#This Row],Phone])</f>
        <v>0</v>
      </c>
      <c r="G27" s="6">
        <f>SUMIF(OrdersTable[Phone Number],[[#This Row],Phone],OrdersTable[Selling Price])</f>
        <v>0</v>
      </c>
      <c r="H27" s="6">
        <f>SUMIF(OrdersTable[Phone Number],[[#This Row],Phone],OrdersTable[Profit])</f>
        <v>0</v>
      </c>
      <c r="I27">
        <f>IF([[#This Row],[Total Orders]]&gt;1,"Yes","No")</f>
        <v>0</v>
      </c>
    </row>
    <row r="28" spans="4:9" ht="20" customHeight="1">
      <c r="D28" s="5">
        <f>IFERROR(_xlfn.MINIFS(OrdersTable[Date],OrdersTable[Phone Number],[[#This Row],Phone]),"")</f>
        <v>0</v>
      </c>
      <c r="E28" s="5">
        <f>IFERROR(_xlfn.MAXIFS(OrdersTable[Date],OrdersTable[Phone Number],[[#This Row],Phone]),"")</f>
        <v>0</v>
      </c>
      <c r="F28" s="11">
        <f>COUNTIF(OrdersTable[Phone Number],[[#This Row],Phone])</f>
        <v>0</v>
      </c>
      <c r="G28" s="6">
        <f>SUMIF(OrdersTable[Phone Number],[[#This Row],Phone],OrdersTable[Selling Price])</f>
        <v>0</v>
      </c>
      <c r="H28" s="6">
        <f>SUMIF(OrdersTable[Phone Number],[[#This Row],Phone],OrdersTable[Profit])</f>
        <v>0</v>
      </c>
      <c r="I28">
        <f>IF([[#This Row],[Total Orders]]&gt;1,"Yes","No")</f>
        <v>0</v>
      </c>
    </row>
    <row r="29" spans="4:9" ht="20" customHeight="1">
      <c r="D29" s="5">
        <f>IFERROR(_xlfn.MINIFS(OrdersTable[Date],OrdersTable[Phone Number],[[#This Row],Phone]),"")</f>
        <v>0</v>
      </c>
      <c r="E29" s="5">
        <f>IFERROR(_xlfn.MAXIFS(OrdersTable[Date],OrdersTable[Phone Number],[[#This Row],Phone]),"")</f>
        <v>0</v>
      </c>
      <c r="F29" s="11">
        <f>COUNTIF(OrdersTable[Phone Number],[[#This Row],Phone])</f>
        <v>0</v>
      </c>
      <c r="G29" s="6">
        <f>SUMIF(OrdersTable[Phone Number],[[#This Row],Phone],OrdersTable[Selling Price])</f>
        <v>0</v>
      </c>
      <c r="H29" s="6">
        <f>SUMIF(OrdersTable[Phone Number],[[#This Row],Phone],OrdersTable[Profit])</f>
        <v>0</v>
      </c>
      <c r="I29">
        <f>IF([[#This Row],[Total Orders]]&gt;1,"Yes","No")</f>
        <v>0</v>
      </c>
    </row>
    <row r="30" spans="4:9" ht="20" customHeight="1">
      <c r="D30" s="5">
        <f>IFERROR(_xlfn.MINIFS(OrdersTable[Date],OrdersTable[Phone Number],[[#This Row],Phone]),"")</f>
        <v>0</v>
      </c>
      <c r="E30" s="5">
        <f>IFERROR(_xlfn.MAXIFS(OrdersTable[Date],OrdersTable[Phone Number],[[#This Row],Phone]),"")</f>
        <v>0</v>
      </c>
      <c r="F30" s="11">
        <f>COUNTIF(OrdersTable[Phone Number],[[#This Row],Phone])</f>
        <v>0</v>
      </c>
      <c r="G30" s="6">
        <f>SUMIF(OrdersTable[Phone Number],[[#This Row],Phone],OrdersTable[Selling Price])</f>
        <v>0</v>
      </c>
      <c r="H30" s="6">
        <f>SUMIF(OrdersTable[Phone Number],[[#This Row],Phone],OrdersTable[Profit])</f>
        <v>0</v>
      </c>
      <c r="I30">
        <f>IF([[#This Row],[Total Orders]]&gt;1,"Yes","No")</f>
        <v>0</v>
      </c>
    </row>
    <row r="31" spans="4:9" ht="20" customHeight="1">
      <c r="D31" s="5">
        <f>IFERROR(_xlfn.MINIFS(OrdersTable[Date],OrdersTable[Phone Number],[[#This Row],Phone]),"")</f>
        <v>0</v>
      </c>
      <c r="E31" s="5">
        <f>IFERROR(_xlfn.MAXIFS(OrdersTable[Date],OrdersTable[Phone Number],[[#This Row],Phone]),"")</f>
        <v>0</v>
      </c>
      <c r="F31" s="11">
        <f>COUNTIF(OrdersTable[Phone Number],[[#This Row],Phone])</f>
        <v>0</v>
      </c>
      <c r="G31" s="6">
        <f>SUMIF(OrdersTable[Phone Number],[[#This Row],Phone],OrdersTable[Selling Price])</f>
        <v>0</v>
      </c>
      <c r="H31" s="6">
        <f>SUMIF(OrdersTable[Phone Number],[[#This Row],Phone],OrdersTable[Profit])</f>
        <v>0</v>
      </c>
      <c r="I31">
        <f>IF([[#This Row],[Total Orders]]&gt;1,"Yes","No")</f>
        <v>0</v>
      </c>
    </row>
    <row r="32" spans="4:9" ht="20" customHeight="1">
      <c r="D32" s="5">
        <f>IFERROR(_xlfn.MINIFS(OrdersTable[Date],OrdersTable[Phone Number],[[#This Row],Phone]),"")</f>
        <v>0</v>
      </c>
      <c r="E32" s="5">
        <f>IFERROR(_xlfn.MAXIFS(OrdersTable[Date],OrdersTable[Phone Number],[[#This Row],Phone]),"")</f>
        <v>0</v>
      </c>
      <c r="F32" s="11">
        <f>COUNTIF(OrdersTable[Phone Number],[[#This Row],Phone])</f>
        <v>0</v>
      </c>
      <c r="G32" s="6">
        <f>SUMIF(OrdersTable[Phone Number],[[#This Row],Phone],OrdersTable[Selling Price])</f>
        <v>0</v>
      </c>
      <c r="H32" s="6">
        <f>SUMIF(OrdersTable[Phone Number],[[#This Row],Phone],OrdersTable[Profit])</f>
        <v>0</v>
      </c>
      <c r="I32">
        <f>IF([[#This Row],[Total Orders]]&gt;1,"Yes","No")</f>
        <v>0</v>
      </c>
    </row>
    <row r="33" spans="4:9" ht="20" customHeight="1">
      <c r="D33" s="5">
        <f>IFERROR(_xlfn.MINIFS(OrdersTable[Date],OrdersTable[Phone Number],[[#This Row],Phone]),"")</f>
        <v>0</v>
      </c>
      <c r="E33" s="5">
        <f>IFERROR(_xlfn.MAXIFS(OrdersTable[Date],OrdersTable[Phone Number],[[#This Row],Phone]),"")</f>
        <v>0</v>
      </c>
      <c r="F33" s="11">
        <f>COUNTIF(OrdersTable[Phone Number],[[#This Row],Phone])</f>
        <v>0</v>
      </c>
      <c r="G33" s="6">
        <f>SUMIF(OrdersTable[Phone Number],[[#This Row],Phone],OrdersTable[Selling Price])</f>
        <v>0</v>
      </c>
      <c r="H33" s="6">
        <f>SUMIF(OrdersTable[Phone Number],[[#This Row],Phone],OrdersTable[Profit])</f>
        <v>0</v>
      </c>
      <c r="I33">
        <f>IF([[#This Row],[Total Orders]]&gt;1,"Yes","No")</f>
        <v>0</v>
      </c>
    </row>
    <row r="34" spans="4:9" ht="20" customHeight="1">
      <c r="D34" s="5">
        <f>IFERROR(_xlfn.MINIFS(OrdersTable[Date],OrdersTable[Phone Number],[[#This Row],Phone]),"")</f>
        <v>0</v>
      </c>
      <c r="E34" s="5">
        <f>IFERROR(_xlfn.MAXIFS(OrdersTable[Date],OrdersTable[Phone Number],[[#This Row],Phone]),"")</f>
        <v>0</v>
      </c>
      <c r="F34" s="11">
        <f>COUNTIF(OrdersTable[Phone Number],[[#This Row],Phone])</f>
        <v>0</v>
      </c>
      <c r="G34" s="6">
        <f>SUMIF(OrdersTable[Phone Number],[[#This Row],Phone],OrdersTable[Selling Price])</f>
        <v>0</v>
      </c>
      <c r="H34" s="6">
        <f>SUMIF(OrdersTable[Phone Number],[[#This Row],Phone],OrdersTable[Profit])</f>
        <v>0</v>
      </c>
      <c r="I34">
        <f>IF([[#This Row],[Total Orders]]&gt;1,"Yes","No")</f>
        <v>0</v>
      </c>
    </row>
    <row r="35" spans="4:9" ht="20" customHeight="1">
      <c r="D35" s="5">
        <f>IFERROR(_xlfn.MINIFS(OrdersTable[Date],OrdersTable[Phone Number],[[#This Row],Phone]),"")</f>
        <v>0</v>
      </c>
      <c r="E35" s="5">
        <f>IFERROR(_xlfn.MAXIFS(OrdersTable[Date],OrdersTable[Phone Number],[[#This Row],Phone]),"")</f>
        <v>0</v>
      </c>
      <c r="F35" s="11">
        <f>COUNTIF(OrdersTable[Phone Number],[[#This Row],Phone])</f>
        <v>0</v>
      </c>
      <c r="G35" s="6">
        <f>SUMIF(OrdersTable[Phone Number],[[#This Row],Phone],OrdersTable[Selling Price])</f>
        <v>0</v>
      </c>
      <c r="H35" s="6">
        <f>SUMIF(OrdersTable[Phone Number],[[#This Row],Phone],OrdersTable[Profit])</f>
        <v>0</v>
      </c>
      <c r="I35">
        <f>IF([[#This Row],[Total Orders]]&gt;1,"Yes","No")</f>
        <v>0</v>
      </c>
    </row>
    <row r="36" spans="4:9" ht="20" customHeight="1">
      <c r="D36" s="5">
        <f>IFERROR(_xlfn.MINIFS(OrdersTable[Date],OrdersTable[Phone Number],[[#This Row],Phone]),"")</f>
        <v>0</v>
      </c>
      <c r="E36" s="5">
        <f>IFERROR(_xlfn.MAXIFS(OrdersTable[Date],OrdersTable[Phone Number],[[#This Row],Phone]),"")</f>
        <v>0</v>
      </c>
      <c r="F36" s="11">
        <f>COUNTIF(OrdersTable[Phone Number],[[#This Row],Phone])</f>
        <v>0</v>
      </c>
      <c r="G36" s="6">
        <f>SUMIF(OrdersTable[Phone Number],[[#This Row],Phone],OrdersTable[Selling Price])</f>
        <v>0</v>
      </c>
      <c r="H36" s="6">
        <f>SUMIF(OrdersTable[Phone Number],[[#This Row],Phone],OrdersTable[Profit])</f>
        <v>0</v>
      </c>
      <c r="I36">
        <f>IF([[#This Row],[Total Orders]]&gt;1,"Yes","No")</f>
        <v>0</v>
      </c>
    </row>
    <row r="37" spans="4:9" ht="20" customHeight="1">
      <c r="D37" s="5">
        <f>IFERROR(_xlfn.MINIFS(OrdersTable[Date],OrdersTable[Phone Number],[[#This Row],Phone]),"")</f>
        <v>0</v>
      </c>
      <c r="E37" s="5">
        <f>IFERROR(_xlfn.MAXIFS(OrdersTable[Date],OrdersTable[Phone Number],[[#This Row],Phone]),"")</f>
        <v>0</v>
      </c>
      <c r="F37" s="11">
        <f>COUNTIF(OrdersTable[Phone Number],[[#This Row],Phone])</f>
        <v>0</v>
      </c>
      <c r="G37" s="6">
        <f>SUMIF(OrdersTable[Phone Number],[[#This Row],Phone],OrdersTable[Selling Price])</f>
        <v>0</v>
      </c>
      <c r="H37" s="6">
        <f>SUMIF(OrdersTable[Phone Number],[[#This Row],Phone],OrdersTable[Profit])</f>
        <v>0</v>
      </c>
      <c r="I37">
        <f>IF([[#This Row],[Total Orders]]&gt;1,"Yes","No")</f>
        <v>0</v>
      </c>
    </row>
    <row r="38" spans="4:9" ht="20" customHeight="1">
      <c r="D38" s="5">
        <f>IFERROR(_xlfn.MINIFS(OrdersTable[Date],OrdersTable[Phone Number],[[#This Row],Phone]),"")</f>
        <v>0</v>
      </c>
      <c r="E38" s="5">
        <f>IFERROR(_xlfn.MAXIFS(OrdersTable[Date],OrdersTable[Phone Number],[[#This Row],Phone]),"")</f>
        <v>0</v>
      </c>
      <c r="F38" s="11">
        <f>COUNTIF(OrdersTable[Phone Number],[[#This Row],Phone])</f>
        <v>0</v>
      </c>
      <c r="G38" s="6">
        <f>SUMIF(OrdersTable[Phone Number],[[#This Row],Phone],OrdersTable[Selling Price])</f>
        <v>0</v>
      </c>
      <c r="H38" s="6">
        <f>SUMIF(OrdersTable[Phone Number],[[#This Row],Phone],OrdersTable[Profit])</f>
        <v>0</v>
      </c>
      <c r="I38">
        <f>IF([[#This Row],[Total Orders]]&gt;1,"Yes","No")</f>
        <v>0</v>
      </c>
    </row>
    <row r="39" spans="4:9" ht="20" customHeight="1">
      <c r="D39" s="5">
        <f>IFERROR(_xlfn.MINIFS(OrdersTable[Date],OrdersTable[Phone Number],[[#This Row],Phone]),"")</f>
        <v>0</v>
      </c>
      <c r="E39" s="5">
        <f>IFERROR(_xlfn.MAXIFS(OrdersTable[Date],OrdersTable[Phone Number],[[#This Row],Phone]),"")</f>
        <v>0</v>
      </c>
      <c r="F39" s="11">
        <f>COUNTIF(OrdersTable[Phone Number],[[#This Row],Phone])</f>
        <v>0</v>
      </c>
      <c r="G39" s="6">
        <f>SUMIF(OrdersTable[Phone Number],[[#This Row],Phone],OrdersTable[Selling Price])</f>
        <v>0</v>
      </c>
      <c r="H39" s="6">
        <f>SUMIF(OrdersTable[Phone Number],[[#This Row],Phone],OrdersTable[Profit])</f>
        <v>0</v>
      </c>
      <c r="I39">
        <f>IF([[#This Row],[Total Orders]]&gt;1,"Yes","No")</f>
        <v>0</v>
      </c>
    </row>
    <row r="40" spans="4:9" ht="20" customHeight="1">
      <c r="D40" s="5">
        <f>IFERROR(_xlfn.MINIFS(OrdersTable[Date],OrdersTable[Phone Number],[[#This Row],Phone]),"")</f>
        <v>0</v>
      </c>
      <c r="E40" s="5">
        <f>IFERROR(_xlfn.MAXIFS(OrdersTable[Date],OrdersTable[Phone Number],[[#This Row],Phone]),"")</f>
        <v>0</v>
      </c>
      <c r="F40" s="11">
        <f>COUNTIF(OrdersTable[Phone Number],[[#This Row],Phone])</f>
        <v>0</v>
      </c>
      <c r="G40" s="6">
        <f>SUMIF(OrdersTable[Phone Number],[[#This Row],Phone],OrdersTable[Selling Price])</f>
        <v>0</v>
      </c>
      <c r="H40" s="6">
        <f>SUMIF(OrdersTable[Phone Number],[[#This Row],Phone],OrdersTable[Profit])</f>
        <v>0</v>
      </c>
      <c r="I40">
        <f>IF([[#This Row],[Total Orders]]&gt;1,"Yes","No")</f>
        <v>0</v>
      </c>
    </row>
    <row r="41" spans="4:9" ht="20" customHeight="1">
      <c r="D41" s="5">
        <f>IFERROR(_xlfn.MINIFS(OrdersTable[Date],OrdersTable[Phone Number],[[#This Row],Phone]),"")</f>
        <v>0</v>
      </c>
      <c r="E41" s="5">
        <f>IFERROR(_xlfn.MAXIFS(OrdersTable[Date],OrdersTable[Phone Number],[[#This Row],Phone]),"")</f>
        <v>0</v>
      </c>
      <c r="F41" s="11">
        <f>COUNTIF(OrdersTable[Phone Number],[[#This Row],Phone])</f>
        <v>0</v>
      </c>
      <c r="G41" s="6">
        <f>SUMIF(OrdersTable[Phone Number],[[#This Row],Phone],OrdersTable[Selling Price])</f>
        <v>0</v>
      </c>
      <c r="H41" s="6">
        <f>SUMIF(OrdersTable[Phone Number],[[#This Row],Phone],OrdersTable[Profit])</f>
        <v>0</v>
      </c>
      <c r="I41">
        <f>IF([[#This Row],[Total Orders]]&gt;1,"Yes","No")</f>
        <v>0</v>
      </c>
    </row>
    <row r="42" spans="4:9" ht="20" customHeight="1">
      <c r="D42" s="5">
        <f>IFERROR(_xlfn.MINIFS(OrdersTable[Date],OrdersTable[Phone Number],[[#This Row],Phone]),"")</f>
        <v>0</v>
      </c>
      <c r="E42" s="5">
        <f>IFERROR(_xlfn.MAXIFS(OrdersTable[Date],OrdersTable[Phone Number],[[#This Row],Phone]),"")</f>
        <v>0</v>
      </c>
      <c r="F42" s="11">
        <f>COUNTIF(OrdersTable[Phone Number],[[#This Row],Phone])</f>
        <v>0</v>
      </c>
      <c r="G42" s="6">
        <f>SUMIF(OrdersTable[Phone Number],[[#This Row],Phone],OrdersTable[Selling Price])</f>
        <v>0</v>
      </c>
      <c r="H42" s="6">
        <f>SUMIF(OrdersTable[Phone Number],[[#This Row],Phone],OrdersTable[Profit])</f>
        <v>0</v>
      </c>
      <c r="I42">
        <f>IF([[#This Row],[Total Orders]]&gt;1,"Yes","No")</f>
        <v>0</v>
      </c>
    </row>
    <row r="43" spans="4:9" ht="20" customHeight="1">
      <c r="D43" s="5">
        <f>IFERROR(_xlfn.MINIFS(OrdersTable[Date],OrdersTable[Phone Number],[[#This Row],Phone]),"")</f>
        <v>0</v>
      </c>
      <c r="E43" s="5">
        <f>IFERROR(_xlfn.MAXIFS(OrdersTable[Date],OrdersTable[Phone Number],[[#This Row],Phone]),"")</f>
        <v>0</v>
      </c>
      <c r="F43" s="11">
        <f>COUNTIF(OrdersTable[Phone Number],[[#This Row],Phone])</f>
        <v>0</v>
      </c>
      <c r="G43" s="6">
        <f>SUMIF(OrdersTable[Phone Number],[[#This Row],Phone],OrdersTable[Selling Price])</f>
        <v>0</v>
      </c>
      <c r="H43" s="6">
        <f>SUMIF(OrdersTable[Phone Number],[[#This Row],Phone],OrdersTable[Profit])</f>
        <v>0</v>
      </c>
      <c r="I43">
        <f>IF([[#This Row],[Total Orders]]&gt;1,"Yes","No")</f>
        <v>0</v>
      </c>
    </row>
    <row r="44" spans="4:9" ht="20" customHeight="1">
      <c r="D44" s="5">
        <f>IFERROR(_xlfn.MINIFS(OrdersTable[Date],OrdersTable[Phone Number],[[#This Row],Phone]),"")</f>
        <v>0</v>
      </c>
      <c r="E44" s="5">
        <f>IFERROR(_xlfn.MAXIFS(OrdersTable[Date],OrdersTable[Phone Number],[[#This Row],Phone]),"")</f>
        <v>0</v>
      </c>
      <c r="F44" s="11">
        <f>COUNTIF(OrdersTable[Phone Number],[[#This Row],Phone])</f>
        <v>0</v>
      </c>
      <c r="G44" s="6">
        <f>SUMIF(OrdersTable[Phone Number],[[#This Row],Phone],OrdersTable[Selling Price])</f>
        <v>0</v>
      </c>
      <c r="H44" s="6">
        <f>SUMIF(OrdersTable[Phone Number],[[#This Row],Phone],OrdersTable[Profit])</f>
        <v>0</v>
      </c>
      <c r="I44">
        <f>IF([[#This Row],[Total Orders]]&gt;1,"Yes","No")</f>
        <v>0</v>
      </c>
    </row>
    <row r="45" spans="4:9" ht="20" customHeight="1">
      <c r="D45" s="5">
        <f>IFERROR(_xlfn.MINIFS(OrdersTable[Date],OrdersTable[Phone Number],[[#This Row],Phone]),"")</f>
        <v>0</v>
      </c>
      <c r="E45" s="5">
        <f>IFERROR(_xlfn.MAXIFS(OrdersTable[Date],OrdersTable[Phone Number],[[#This Row],Phone]),"")</f>
        <v>0</v>
      </c>
      <c r="F45" s="11">
        <f>COUNTIF(OrdersTable[Phone Number],[[#This Row],Phone])</f>
        <v>0</v>
      </c>
      <c r="G45" s="6">
        <f>SUMIF(OrdersTable[Phone Number],[[#This Row],Phone],OrdersTable[Selling Price])</f>
        <v>0</v>
      </c>
      <c r="H45" s="6">
        <f>SUMIF(OrdersTable[Phone Number],[[#This Row],Phone],OrdersTable[Profit])</f>
        <v>0</v>
      </c>
      <c r="I45">
        <f>IF([[#This Row],[Total Orders]]&gt;1,"Yes","No")</f>
        <v>0</v>
      </c>
    </row>
    <row r="46" spans="4:9" ht="20" customHeight="1">
      <c r="D46" s="5">
        <f>IFERROR(_xlfn.MINIFS(OrdersTable[Date],OrdersTable[Phone Number],[[#This Row],Phone]),"")</f>
        <v>0</v>
      </c>
      <c r="E46" s="5">
        <f>IFERROR(_xlfn.MAXIFS(OrdersTable[Date],OrdersTable[Phone Number],[[#This Row],Phone]),"")</f>
        <v>0</v>
      </c>
      <c r="F46" s="11">
        <f>COUNTIF(OrdersTable[Phone Number],[[#This Row],Phone])</f>
        <v>0</v>
      </c>
      <c r="G46" s="6">
        <f>SUMIF(OrdersTable[Phone Number],[[#This Row],Phone],OrdersTable[Selling Price])</f>
        <v>0</v>
      </c>
      <c r="H46" s="6">
        <f>SUMIF(OrdersTable[Phone Number],[[#This Row],Phone],OrdersTable[Profit])</f>
        <v>0</v>
      </c>
      <c r="I46">
        <f>IF([[#This Row],[Total Orders]]&gt;1,"Yes","No")</f>
        <v>0</v>
      </c>
    </row>
    <row r="47" spans="4:9" ht="20" customHeight="1">
      <c r="D47" s="5">
        <f>IFERROR(_xlfn.MINIFS(OrdersTable[Date],OrdersTable[Phone Number],[[#This Row],Phone]),"")</f>
        <v>0</v>
      </c>
      <c r="E47" s="5">
        <f>IFERROR(_xlfn.MAXIFS(OrdersTable[Date],OrdersTable[Phone Number],[[#This Row],Phone]),"")</f>
        <v>0</v>
      </c>
      <c r="F47" s="11">
        <f>COUNTIF(OrdersTable[Phone Number],[[#This Row],Phone])</f>
        <v>0</v>
      </c>
      <c r="G47" s="6">
        <f>SUMIF(OrdersTable[Phone Number],[[#This Row],Phone],OrdersTable[Selling Price])</f>
        <v>0</v>
      </c>
      <c r="H47" s="6">
        <f>SUMIF(OrdersTable[Phone Number],[[#This Row],Phone],OrdersTable[Profit])</f>
        <v>0</v>
      </c>
      <c r="I47">
        <f>IF([[#This Row],[Total Orders]]&gt;1,"Yes","No")</f>
        <v>0</v>
      </c>
    </row>
    <row r="48" spans="4:9" ht="20" customHeight="1">
      <c r="D48" s="5">
        <f>IFERROR(_xlfn.MINIFS(OrdersTable[Date],OrdersTable[Phone Number],[[#This Row],Phone]),"")</f>
        <v>0</v>
      </c>
      <c r="E48" s="5">
        <f>IFERROR(_xlfn.MAXIFS(OrdersTable[Date],OrdersTable[Phone Number],[[#This Row],Phone]),"")</f>
        <v>0</v>
      </c>
      <c r="F48" s="11">
        <f>COUNTIF(OrdersTable[Phone Number],[[#This Row],Phone])</f>
        <v>0</v>
      </c>
      <c r="G48" s="6">
        <f>SUMIF(OrdersTable[Phone Number],[[#This Row],Phone],OrdersTable[Selling Price])</f>
        <v>0</v>
      </c>
      <c r="H48" s="6">
        <f>SUMIF(OrdersTable[Phone Number],[[#This Row],Phone],OrdersTable[Profit])</f>
        <v>0</v>
      </c>
      <c r="I48">
        <f>IF([[#This Row],[Total Orders]]&gt;1,"Yes","No")</f>
        <v>0</v>
      </c>
    </row>
    <row r="49" spans="4:9" ht="20" customHeight="1">
      <c r="D49" s="5">
        <f>IFERROR(_xlfn.MINIFS(OrdersTable[Date],OrdersTable[Phone Number],[[#This Row],Phone]),"")</f>
        <v>0</v>
      </c>
      <c r="E49" s="5">
        <f>IFERROR(_xlfn.MAXIFS(OrdersTable[Date],OrdersTable[Phone Number],[[#This Row],Phone]),"")</f>
        <v>0</v>
      </c>
      <c r="F49" s="11">
        <f>COUNTIF(OrdersTable[Phone Number],[[#This Row],Phone])</f>
        <v>0</v>
      </c>
      <c r="G49" s="6">
        <f>SUMIF(OrdersTable[Phone Number],[[#This Row],Phone],OrdersTable[Selling Price])</f>
        <v>0</v>
      </c>
      <c r="H49" s="6">
        <f>SUMIF(OrdersTable[Phone Number],[[#This Row],Phone],OrdersTable[Profit])</f>
        <v>0</v>
      </c>
      <c r="I49">
        <f>IF([[#This Row],[Total Orders]]&gt;1,"Yes","No")</f>
        <v>0</v>
      </c>
    </row>
    <row r="50" spans="4:9" ht="20" customHeight="1">
      <c r="D50" s="5">
        <f>IFERROR(_xlfn.MINIFS(OrdersTable[Date],OrdersTable[Phone Number],[[#This Row],Phone]),"")</f>
        <v>0</v>
      </c>
      <c r="E50" s="5">
        <f>IFERROR(_xlfn.MAXIFS(OrdersTable[Date],OrdersTable[Phone Number],[[#This Row],Phone]),"")</f>
        <v>0</v>
      </c>
      <c r="F50" s="11">
        <f>COUNTIF(OrdersTable[Phone Number],[[#This Row],Phone])</f>
        <v>0</v>
      </c>
      <c r="G50" s="6">
        <f>SUMIF(OrdersTable[Phone Number],[[#This Row],Phone],OrdersTable[Selling Price])</f>
        <v>0</v>
      </c>
      <c r="H50" s="6">
        <f>SUMIF(OrdersTable[Phone Number],[[#This Row],Phone],OrdersTable[Profit])</f>
        <v>0</v>
      </c>
      <c r="I50">
        <f>IF([[#This Row],[Total Orders]]&gt;1,"Yes","No")</f>
        <v>0</v>
      </c>
    </row>
    <row r="51" spans="4:9" ht="20" customHeight="1">
      <c r="D51" s="5">
        <f>IFERROR(_xlfn.MINIFS(OrdersTable[Date],OrdersTable[Phone Number],[[#This Row],Phone]),"")</f>
        <v>0</v>
      </c>
      <c r="E51" s="5">
        <f>IFERROR(_xlfn.MAXIFS(OrdersTable[Date],OrdersTable[Phone Number],[[#This Row],Phone]),"")</f>
        <v>0</v>
      </c>
      <c r="F51" s="11">
        <f>COUNTIF(OrdersTable[Phone Number],[[#This Row],Phone])</f>
        <v>0</v>
      </c>
      <c r="G51" s="6">
        <f>SUMIF(OrdersTable[Phone Number],[[#This Row],Phone],OrdersTable[Selling Price])</f>
        <v>0</v>
      </c>
      <c r="H51" s="6">
        <f>SUMIF(OrdersTable[Phone Number],[[#This Row],Phone],OrdersTable[Profit])</f>
        <v>0</v>
      </c>
      <c r="I51">
        <f>IF([[#This Row],[Total Orders]]&gt;1,"Yes","No")</f>
        <v>0</v>
      </c>
    </row>
    <row r="52" spans="4:9" ht="20" customHeight="1">
      <c r="D52" s="5">
        <f>IFERROR(_xlfn.MINIFS(OrdersTable[Date],OrdersTable[Phone Number],[[#This Row],Phone]),"")</f>
        <v>0</v>
      </c>
      <c r="E52" s="5">
        <f>IFERROR(_xlfn.MAXIFS(OrdersTable[Date],OrdersTable[Phone Number],[[#This Row],Phone]),"")</f>
        <v>0</v>
      </c>
      <c r="F52" s="11">
        <f>COUNTIF(OrdersTable[Phone Number],[[#This Row],Phone])</f>
        <v>0</v>
      </c>
      <c r="G52" s="6">
        <f>SUMIF(OrdersTable[Phone Number],[[#This Row],Phone],OrdersTable[Selling Price])</f>
        <v>0</v>
      </c>
      <c r="H52" s="6">
        <f>SUMIF(OrdersTable[Phone Number],[[#This Row],Phone],OrdersTable[Profit])</f>
        <v>0</v>
      </c>
      <c r="I52">
        <f>IF([[#This Row],[Total Orders]]&gt;1,"Yes","No")</f>
        <v>0</v>
      </c>
    </row>
    <row r="53" spans="4:9" ht="20" customHeight="1">
      <c r="D53" s="5">
        <f>IFERROR(_xlfn.MINIFS(OrdersTable[Date],OrdersTable[Phone Number],[[#This Row],Phone]),"")</f>
        <v>0</v>
      </c>
      <c r="E53" s="5">
        <f>IFERROR(_xlfn.MAXIFS(OrdersTable[Date],OrdersTable[Phone Number],[[#This Row],Phone]),"")</f>
        <v>0</v>
      </c>
      <c r="F53" s="11">
        <f>COUNTIF(OrdersTable[Phone Number],[[#This Row],Phone])</f>
        <v>0</v>
      </c>
      <c r="G53" s="6">
        <f>SUMIF(OrdersTable[Phone Number],[[#This Row],Phone],OrdersTable[Selling Price])</f>
        <v>0</v>
      </c>
      <c r="H53" s="6">
        <f>SUMIF(OrdersTable[Phone Number],[[#This Row],Phone],OrdersTable[Profit])</f>
        <v>0</v>
      </c>
      <c r="I53">
        <f>IF([[#This Row],[Total Orders]]&gt;1,"Yes","No")</f>
        <v>0</v>
      </c>
    </row>
    <row r="54" spans="4:9" ht="20" customHeight="1">
      <c r="D54" s="5">
        <f>IFERROR(_xlfn.MINIFS(OrdersTable[Date],OrdersTable[Phone Number],[[#This Row],Phone]),"")</f>
        <v>0</v>
      </c>
      <c r="E54" s="5">
        <f>IFERROR(_xlfn.MAXIFS(OrdersTable[Date],OrdersTable[Phone Number],[[#This Row],Phone]),"")</f>
        <v>0</v>
      </c>
      <c r="F54" s="11">
        <f>COUNTIF(OrdersTable[Phone Number],[[#This Row],Phone])</f>
        <v>0</v>
      </c>
      <c r="G54" s="6">
        <f>SUMIF(OrdersTable[Phone Number],[[#This Row],Phone],OrdersTable[Selling Price])</f>
        <v>0</v>
      </c>
      <c r="H54" s="6">
        <f>SUMIF(OrdersTable[Phone Number],[[#This Row],Phone],OrdersTable[Profit])</f>
        <v>0</v>
      </c>
      <c r="I54">
        <f>IF([[#This Row],[Total Orders]]&gt;1,"Yes","No")</f>
        <v>0</v>
      </c>
    </row>
    <row r="55" spans="4:9" ht="20" customHeight="1">
      <c r="D55" s="5">
        <f>IFERROR(_xlfn.MINIFS(OrdersTable[Date],OrdersTable[Phone Number],[[#This Row],Phone]),"")</f>
        <v>0</v>
      </c>
      <c r="E55" s="5">
        <f>IFERROR(_xlfn.MAXIFS(OrdersTable[Date],OrdersTable[Phone Number],[[#This Row],Phone]),"")</f>
        <v>0</v>
      </c>
      <c r="F55" s="11">
        <f>COUNTIF(OrdersTable[Phone Number],[[#This Row],Phone])</f>
        <v>0</v>
      </c>
      <c r="G55" s="6">
        <f>SUMIF(OrdersTable[Phone Number],[[#This Row],Phone],OrdersTable[Selling Price])</f>
        <v>0</v>
      </c>
      <c r="H55" s="6">
        <f>SUMIF(OrdersTable[Phone Number],[[#This Row],Phone],OrdersTable[Profit])</f>
        <v>0</v>
      </c>
      <c r="I55">
        <f>IF([[#This Row],[Total Orders]]&gt;1,"Yes","No")</f>
        <v>0</v>
      </c>
    </row>
    <row r="56" spans="4:9" ht="20" customHeight="1">
      <c r="D56" s="5">
        <f>IFERROR(_xlfn.MINIFS(OrdersTable[Date],OrdersTable[Phone Number],[[#This Row],Phone]),"")</f>
        <v>0</v>
      </c>
      <c r="E56" s="5">
        <f>IFERROR(_xlfn.MAXIFS(OrdersTable[Date],OrdersTable[Phone Number],[[#This Row],Phone]),"")</f>
        <v>0</v>
      </c>
      <c r="F56" s="11">
        <f>COUNTIF(OrdersTable[Phone Number],[[#This Row],Phone])</f>
        <v>0</v>
      </c>
      <c r="G56" s="6">
        <f>SUMIF(OrdersTable[Phone Number],[[#This Row],Phone],OrdersTable[Selling Price])</f>
        <v>0</v>
      </c>
      <c r="H56" s="6">
        <f>SUMIF(OrdersTable[Phone Number],[[#This Row],Phone],OrdersTable[Profit])</f>
        <v>0</v>
      </c>
      <c r="I56">
        <f>IF([[#This Row],[Total Orders]]&gt;1,"Yes","No")</f>
        <v>0</v>
      </c>
    </row>
    <row r="57" spans="4:9" ht="20" customHeight="1">
      <c r="D57" s="5">
        <f>IFERROR(_xlfn.MINIFS(OrdersTable[Date],OrdersTable[Phone Number],[[#This Row],Phone]),"")</f>
        <v>0</v>
      </c>
      <c r="E57" s="5">
        <f>IFERROR(_xlfn.MAXIFS(OrdersTable[Date],OrdersTable[Phone Number],[[#This Row],Phone]),"")</f>
        <v>0</v>
      </c>
      <c r="F57" s="11">
        <f>COUNTIF(OrdersTable[Phone Number],[[#This Row],Phone])</f>
        <v>0</v>
      </c>
      <c r="G57" s="6">
        <f>SUMIF(OrdersTable[Phone Number],[[#This Row],Phone],OrdersTable[Selling Price])</f>
        <v>0</v>
      </c>
      <c r="H57" s="6">
        <f>SUMIF(OrdersTable[Phone Number],[[#This Row],Phone],OrdersTable[Profit])</f>
        <v>0</v>
      </c>
      <c r="I57">
        <f>IF([[#This Row],[Total Orders]]&gt;1,"Yes","No")</f>
        <v>0</v>
      </c>
    </row>
    <row r="58" spans="4:9" ht="20" customHeight="1">
      <c r="D58" s="5">
        <f>IFERROR(_xlfn.MINIFS(OrdersTable[Date],OrdersTable[Phone Number],[[#This Row],Phone]),"")</f>
        <v>0</v>
      </c>
      <c r="E58" s="5">
        <f>IFERROR(_xlfn.MAXIFS(OrdersTable[Date],OrdersTable[Phone Number],[[#This Row],Phone]),"")</f>
        <v>0</v>
      </c>
      <c r="F58" s="11">
        <f>COUNTIF(OrdersTable[Phone Number],[[#This Row],Phone])</f>
        <v>0</v>
      </c>
      <c r="G58" s="6">
        <f>SUMIF(OrdersTable[Phone Number],[[#This Row],Phone],OrdersTable[Selling Price])</f>
        <v>0</v>
      </c>
      <c r="H58" s="6">
        <f>SUMIF(OrdersTable[Phone Number],[[#This Row],Phone],OrdersTable[Profit])</f>
        <v>0</v>
      </c>
      <c r="I58">
        <f>IF([[#This Row],[Total Orders]]&gt;1,"Yes","No")</f>
        <v>0</v>
      </c>
    </row>
    <row r="59" spans="4:9" ht="20" customHeight="1">
      <c r="D59" s="5">
        <f>IFERROR(_xlfn.MINIFS(OrdersTable[Date],OrdersTable[Phone Number],[[#This Row],Phone]),"")</f>
        <v>0</v>
      </c>
      <c r="E59" s="5">
        <f>IFERROR(_xlfn.MAXIFS(OrdersTable[Date],OrdersTable[Phone Number],[[#This Row],Phone]),"")</f>
        <v>0</v>
      </c>
      <c r="F59" s="11">
        <f>COUNTIF(OrdersTable[Phone Number],[[#This Row],Phone])</f>
        <v>0</v>
      </c>
      <c r="G59" s="6">
        <f>SUMIF(OrdersTable[Phone Number],[[#This Row],Phone],OrdersTable[Selling Price])</f>
        <v>0</v>
      </c>
      <c r="H59" s="6">
        <f>SUMIF(OrdersTable[Phone Number],[[#This Row],Phone],OrdersTable[Profit])</f>
        <v>0</v>
      </c>
      <c r="I59">
        <f>IF([[#This Row],[Total Orders]]&gt;1,"Yes","No")</f>
        <v>0</v>
      </c>
    </row>
    <row r="60" spans="4:9" ht="20" customHeight="1">
      <c r="D60" s="5">
        <f>IFERROR(_xlfn.MINIFS(OrdersTable[Date],OrdersTable[Phone Number],[[#This Row],Phone]),"")</f>
        <v>0</v>
      </c>
      <c r="E60" s="5">
        <f>IFERROR(_xlfn.MAXIFS(OrdersTable[Date],OrdersTable[Phone Number],[[#This Row],Phone]),"")</f>
        <v>0</v>
      </c>
      <c r="F60" s="11">
        <f>COUNTIF(OrdersTable[Phone Number],[[#This Row],Phone])</f>
        <v>0</v>
      </c>
      <c r="G60" s="6">
        <f>SUMIF(OrdersTable[Phone Number],[[#This Row],Phone],OrdersTable[Selling Price])</f>
        <v>0</v>
      </c>
      <c r="H60" s="6">
        <f>SUMIF(OrdersTable[Phone Number],[[#This Row],Phone],OrdersTable[Profit])</f>
        <v>0</v>
      </c>
      <c r="I60">
        <f>IF([[#This Row],[Total Orders]]&gt;1,"Yes","No")</f>
        <v>0</v>
      </c>
    </row>
    <row r="61" spans="4:9" ht="20" customHeight="1">
      <c r="D61" s="5">
        <f>IFERROR(_xlfn.MINIFS(OrdersTable[Date],OrdersTable[Phone Number],[[#This Row],Phone]),"")</f>
        <v>0</v>
      </c>
      <c r="E61" s="5">
        <f>IFERROR(_xlfn.MAXIFS(OrdersTable[Date],OrdersTable[Phone Number],[[#This Row],Phone]),"")</f>
        <v>0</v>
      </c>
      <c r="F61" s="11">
        <f>COUNTIF(OrdersTable[Phone Number],[[#This Row],Phone])</f>
        <v>0</v>
      </c>
      <c r="G61" s="6">
        <f>SUMIF(OrdersTable[Phone Number],[[#This Row],Phone],OrdersTable[Selling Price])</f>
        <v>0</v>
      </c>
      <c r="H61" s="6">
        <f>SUMIF(OrdersTable[Phone Number],[[#This Row],Phone],OrdersTable[Profit])</f>
        <v>0</v>
      </c>
      <c r="I61">
        <f>IF([[#This Row],[Total Orders]]&gt;1,"Yes","No")</f>
        <v>0</v>
      </c>
    </row>
    <row r="62" spans="4:9" ht="20" customHeight="1">
      <c r="D62" s="5">
        <f>IFERROR(_xlfn.MINIFS(OrdersTable[Date],OrdersTable[Phone Number],[[#This Row],Phone]),"")</f>
        <v>0</v>
      </c>
      <c r="E62" s="5">
        <f>IFERROR(_xlfn.MAXIFS(OrdersTable[Date],OrdersTable[Phone Number],[[#This Row],Phone]),"")</f>
        <v>0</v>
      </c>
      <c r="F62" s="11">
        <f>COUNTIF(OrdersTable[Phone Number],[[#This Row],Phone])</f>
        <v>0</v>
      </c>
      <c r="G62" s="6">
        <f>SUMIF(OrdersTable[Phone Number],[[#This Row],Phone],OrdersTable[Selling Price])</f>
        <v>0</v>
      </c>
      <c r="H62" s="6">
        <f>SUMIF(OrdersTable[Phone Number],[[#This Row],Phone],OrdersTable[Profit])</f>
        <v>0</v>
      </c>
      <c r="I62">
        <f>IF([[#This Row],[Total Orders]]&gt;1,"Yes","No")</f>
        <v>0</v>
      </c>
    </row>
    <row r="63" spans="4:9" ht="20" customHeight="1">
      <c r="D63" s="5">
        <f>IFERROR(_xlfn.MINIFS(OrdersTable[Date],OrdersTable[Phone Number],[[#This Row],Phone]),"")</f>
        <v>0</v>
      </c>
      <c r="E63" s="5">
        <f>IFERROR(_xlfn.MAXIFS(OrdersTable[Date],OrdersTable[Phone Number],[[#This Row],Phone]),"")</f>
        <v>0</v>
      </c>
      <c r="F63" s="11">
        <f>COUNTIF(OrdersTable[Phone Number],[[#This Row],Phone])</f>
        <v>0</v>
      </c>
      <c r="G63" s="6">
        <f>SUMIF(OrdersTable[Phone Number],[[#This Row],Phone],OrdersTable[Selling Price])</f>
        <v>0</v>
      </c>
      <c r="H63" s="6">
        <f>SUMIF(OrdersTable[Phone Number],[[#This Row],Phone],OrdersTable[Profit])</f>
        <v>0</v>
      </c>
      <c r="I63">
        <f>IF([[#This Row],[Total Orders]]&gt;1,"Yes","No")</f>
        <v>0</v>
      </c>
    </row>
    <row r="64" spans="4:9" ht="20" customHeight="1">
      <c r="D64" s="5">
        <f>IFERROR(_xlfn.MINIFS(OrdersTable[Date],OrdersTable[Phone Number],[[#This Row],Phone]),"")</f>
        <v>0</v>
      </c>
      <c r="E64" s="5">
        <f>IFERROR(_xlfn.MAXIFS(OrdersTable[Date],OrdersTable[Phone Number],[[#This Row],Phone]),"")</f>
        <v>0</v>
      </c>
      <c r="F64" s="11">
        <f>COUNTIF(OrdersTable[Phone Number],[[#This Row],Phone])</f>
        <v>0</v>
      </c>
      <c r="G64" s="6">
        <f>SUMIF(OrdersTable[Phone Number],[[#This Row],Phone],OrdersTable[Selling Price])</f>
        <v>0</v>
      </c>
      <c r="H64" s="6">
        <f>SUMIF(OrdersTable[Phone Number],[[#This Row],Phone],OrdersTable[Profit])</f>
        <v>0</v>
      </c>
      <c r="I64">
        <f>IF([[#This Row],[Total Orders]]&gt;1,"Yes","No")</f>
        <v>0</v>
      </c>
    </row>
    <row r="65" spans="4:9" ht="20" customHeight="1">
      <c r="D65" s="5">
        <f>IFERROR(_xlfn.MINIFS(OrdersTable[Date],OrdersTable[Phone Number],[[#This Row],Phone]),"")</f>
        <v>0</v>
      </c>
      <c r="E65" s="5">
        <f>IFERROR(_xlfn.MAXIFS(OrdersTable[Date],OrdersTable[Phone Number],[[#This Row],Phone]),"")</f>
        <v>0</v>
      </c>
      <c r="F65" s="11">
        <f>COUNTIF(OrdersTable[Phone Number],[[#This Row],Phone])</f>
        <v>0</v>
      </c>
      <c r="G65" s="6">
        <f>SUMIF(OrdersTable[Phone Number],[[#This Row],Phone],OrdersTable[Selling Price])</f>
        <v>0</v>
      </c>
      <c r="H65" s="6">
        <f>SUMIF(OrdersTable[Phone Number],[[#This Row],Phone],OrdersTable[Profit])</f>
        <v>0</v>
      </c>
      <c r="I65">
        <f>IF([[#This Row],[Total Orders]]&gt;1,"Yes","No")</f>
        <v>0</v>
      </c>
    </row>
    <row r="66" spans="4:9" ht="20" customHeight="1">
      <c r="D66" s="5">
        <f>IFERROR(_xlfn.MINIFS(OrdersTable[Date],OrdersTable[Phone Number],[[#This Row],Phone]),"")</f>
        <v>0</v>
      </c>
      <c r="E66" s="5">
        <f>IFERROR(_xlfn.MAXIFS(OrdersTable[Date],OrdersTable[Phone Number],[[#This Row],Phone]),"")</f>
        <v>0</v>
      </c>
      <c r="F66" s="11">
        <f>COUNTIF(OrdersTable[Phone Number],[[#This Row],Phone])</f>
        <v>0</v>
      </c>
      <c r="G66" s="6">
        <f>SUMIF(OrdersTable[Phone Number],[[#This Row],Phone],OrdersTable[Selling Price])</f>
        <v>0</v>
      </c>
      <c r="H66" s="6">
        <f>SUMIF(OrdersTable[Phone Number],[[#This Row],Phone],OrdersTable[Profit])</f>
        <v>0</v>
      </c>
      <c r="I66">
        <f>IF([[#This Row],[Total Orders]]&gt;1,"Yes","No")</f>
        <v>0</v>
      </c>
    </row>
    <row r="67" spans="4:9" ht="20" customHeight="1">
      <c r="D67" s="5">
        <f>IFERROR(_xlfn.MINIFS(OrdersTable[Date],OrdersTable[Phone Number],[[#This Row],Phone]),"")</f>
        <v>0</v>
      </c>
      <c r="E67" s="5">
        <f>IFERROR(_xlfn.MAXIFS(OrdersTable[Date],OrdersTable[Phone Number],[[#This Row],Phone]),"")</f>
        <v>0</v>
      </c>
      <c r="F67" s="11">
        <f>COUNTIF(OrdersTable[Phone Number],[[#This Row],Phone])</f>
        <v>0</v>
      </c>
      <c r="G67" s="6">
        <f>SUMIF(OrdersTable[Phone Number],[[#This Row],Phone],OrdersTable[Selling Price])</f>
        <v>0</v>
      </c>
      <c r="H67" s="6">
        <f>SUMIF(OrdersTable[Phone Number],[[#This Row],Phone],OrdersTable[Profit])</f>
        <v>0</v>
      </c>
      <c r="I67">
        <f>IF([[#This Row],[Total Orders]]&gt;1,"Yes","No")</f>
        <v>0</v>
      </c>
    </row>
    <row r="68" spans="4:9" ht="20" customHeight="1">
      <c r="D68" s="5">
        <f>IFERROR(_xlfn.MINIFS(OrdersTable[Date],OrdersTable[Phone Number],[[#This Row],Phone]),"")</f>
        <v>0</v>
      </c>
      <c r="E68" s="5">
        <f>IFERROR(_xlfn.MAXIFS(OrdersTable[Date],OrdersTable[Phone Number],[[#This Row],Phone]),"")</f>
        <v>0</v>
      </c>
      <c r="F68" s="11">
        <f>COUNTIF(OrdersTable[Phone Number],[[#This Row],Phone])</f>
        <v>0</v>
      </c>
      <c r="G68" s="6">
        <f>SUMIF(OrdersTable[Phone Number],[[#This Row],Phone],OrdersTable[Selling Price])</f>
        <v>0</v>
      </c>
      <c r="H68" s="6">
        <f>SUMIF(OrdersTable[Phone Number],[[#This Row],Phone],OrdersTable[Profit])</f>
        <v>0</v>
      </c>
      <c r="I68">
        <f>IF([[#This Row],[Total Orders]]&gt;1,"Yes","No")</f>
        <v>0</v>
      </c>
    </row>
    <row r="69" spans="4:9" ht="20" customHeight="1">
      <c r="D69" s="5">
        <f>IFERROR(_xlfn.MINIFS(OrdersTable[Date],OrdersTable[Phone Number],[[#This Row],Phone]),"")</f>
        <v>0</v>
      </c>
      <c r="E69" s="5">
        <f>IFERROR(_xlfn.MAXIFS(OrdersTable[Date],OrdersTable[Phone Number],[[#This Row],Phone]),"")</f>
        <v>0</v>
      </c>
      <c r="F69" s="11">
        <f>COUNTIF(OrdersTable[Phone Number],[[#This Row],Phone])</f>
        <v>0</v>
      </c>
      <c r="G69" s="6">
        <f>SUMIF(OrdersTable[Phone Number],[[#This Row],Phone],OrdersTable[Selling Price])</f>
        <v>0</v>
      </c>
      <c r="H69" s="6">
        <f>SUMIF(OrdersTable[Phone Number],[[#This Row],Phone],OrdersTable[Profit])</f>
        <v>0</v>
      </c>
      <c r="I69">
        <f>IF([[#This Row],[Total Orders]]&gt;1,"Yes","No")</f>
        <v>0</v>
      </c>
    </row>
    <row r="70" spans="4:9" ht="20" customHeight="1">
      <c r="D70" s="5">
        <f>IFERROR(_xlfn.MINIFS(OrdersTable[Date],OrdersTable[Phone Number],[[#This Row],Phone]),"")</f>
        <v>0</v>
      </c>
      <c r="E70" s="5">
        <f>IFERROR(_xlfn.MAXIFS(OrdersTable[Date],OrdersTable[Phone Number],[[#This Row],Phone]),"")</f>
        <v>0</v>
      </c>
      <c r="F70" s="11">
        <f>COUNTIF(OrdersTable[Phone Number],[[#This Row],Phone])</f>
        <v>0</v>
      </c>
      <c r="G70" s="6">
        <f>SUMIF(OrdersTable[Phone Number],[[#This Row],Phone],OrdersTable[Selling Price])</f>
        <v>0</v>
      </c>
      <c r="H70" s="6">
        <f>SUMIF(OrdersTable[Phone Number],[[#This Row],Phone],OrdersTable[Profit])</f>
        <v>0</v>
      </c>
      <c r="I70">
        <f>IF([[#This Row],[Total Orders]]&gt;1,"Yes","No")</f>
        <v>0</v>
      </c>
    </row>
    <row r="71" spans="4:9" ht="20" customHeight="1">
      <c r="D71" s="5">
        <f>IFERROR(_xlfn.MINIFS(OrdersTable[Date],OrdersTable[Phone Number],[[#This Row],Phone]),"")</f>
        <v>0</v>
      </c>
      <c r="E71" s="5">
        <f>IFERROR(_xlfn.MAXIFS(OrdersTable[Date],OrdersTable[Phone Number],[[#This Row],Phone]),"")</f>
        <v>0</v>
      </c>
      <c r="F71" s="11">
        <f>COUNTIF(OrdersTable[Phone Number],[[#This Row],Phone])</f>
        <v>0</v>
      </c>
      <c r="G71" s="6">
        <f>SUMIF(OrdersTable[Phone Number],[[#This Row],Phone],OrdersTable[Selling Price])</f>
        <v>0</v>
      </c>
      <c r="H71" s="6">
        <f>SUMIF(OrdersTable[Phone Number],[[#This Row],Phone],OrdersTable[Profit])</f>
        <v>0</v>
      </c>
      <c r="I71">
        <f>IF([[#This Row],[Total Orders]]&gt;1,"Yes","No")</f>
        <v>0</v>
      </c>
    </row>
    <row r="72" spans="4:9" ht="20" customHeight="1">
      <c r="D72" s="5">
        <f>IFERROR(_xlfn.MINIFS(OrdersTable[Date],OrdersTable[Phone Number],[[#This Row],Phone]),"")</f>
        <v>0</v>
      </c>
      <c r="E72" s="5">
        <f>IFERROR(_xlfn.MAXIFS(OrdersTable[Date],OrdersTable[Phone Number],[[#This Row],Phone]),"")</f>
        <v>0</v>
      </c>
      <c r="F72" s="11">
        <f>COUNTIF(OrdersTable[Phone Number],[[#This Row],Phone])</f>
        <v>0</v>
      </c>
      <c r="G72" s="6">
        <f>SUMIF(OrdersTable[Phone Number],[[#This Row],Phone],OrdersTable[Selling Price])</f>
        <v>0</v>
      </c>
      <c r="H72" s="6">
        <f>SUMIF(OrdersTable[Phone Number],[[#This Row],Phone],OrdersTable[Profit])</f>
        <v>0</v>
      </c>
      <c r="I72">
        <f>IF([[#This Row],[Total Orders]]&gt;1,"Yes","No")</f>
        <v>0</v>
      </c>
    </row>
    <row r="73" spans="4:9" ht="20" customHeight="1">
      <c r="D73" s="5">
        <f>IFERROR(_xlfn.MINIFS(OrdersTable[Date],OrdersTable[Phone Number],[[#This Row],Phone]),"")</f>
        <v>0</v>
      </c>
      <c r="E73" s="5">
        <f>IFERROR(_xlfn.MAXIFS(OrdersTable[Date],OrdersTable[Phone Number],[[#This Row],Phone]),"")</f>
        <v>0</v>
      </c>
      <c r="F73" s="11">
        <f>COUNTIF(OrdersTable[Phone Number],[[#This Row],Phone])</f>
        <v>0</v>
      </c>
      <c r="G73" s="6">
        <f>SUMIF(OrdersTable[Phone Number],[[#This Row],Phone],OrdersTable[Selling Price])</f>
        <v>0</v>
      </c>
      <c r="H73" s="6">
        <f>SUMIF(OrdersTable[Phone Number],[[#This Row],Phone],OrdersTable[Profit])</f>
        <v>0</v>
      </c>
      <c r="I73">
        <f>IF([[#This Row],[Total Orders]]&gt;1,"Yes","No")</f>
        <v>0</v>
      </c>
    </row>
    <row r="74" spans="4:9" ht="20" customHeight="1">
      <c r="D74" s="5">
        <f>IFERROR(_xlfn.MINIFS(OrdersTable[Date],OrdersTable[Phone Number],[[#This Row],Phone]),"")</f>
        <v>0</v>
      </c>
      <c r="E74" s="5">
        <f>IFERROR(_xlfn.MAXIFS(OrdersTable[Date],OrdersTable[Phone Number],[[#This Row],Phone]),"")</f>
        <v>0</v>
      </c>
      <c r="F74" s="11">
        <f>COUNTIF(OrdersTable[Phone Number],[[#This Row],Phone])</f>
        <v>0</v>
      </c>
      <c r="G74" s="6">
        <f>SUMIF(OrdersTable[Phone Number],[[#This Row],Phone],OrdersTable[Selling Price])</f>
        <v>0</v>
      </c>
      <c r="H74" s="6">
        <f>SUMIF(OrdersTable[Phone Number],[[#This Row],Phone],OrdersTable[Profit])</f>
        <v>0</v>
      </c>
      <c r="I74">
        <f>IF([[#This Row],[Total Orders]]&gt;1,"Yes","No")</f>
        <v>0</v>
      </c>
    </row>
    <row r="75" spans="4:9" ht="20" customHeight="1">
      <c r="D75" s="5">
        <f>IFERROR(_xlfn.MINIFS(OrdersTable[Date],OrdersTable[Phone Number],[[#This Row],Phone]),"")</f>
        <v>0</v>
      </c>
      <c r="E75" s="5">
        <f>IFERROR(_xlfn.MAXIFS(OrdersTable[Date],OrdersTable[Phone Number],[[#This Row],Phone]),"")</f>
        <v>0</v>
      </c>
      <c r="F75" s="11">
        <f>COUNTIF(OrdersTable[Phone Number],[[#This Row],Phone])</f>
        <v>0</v>
      </c>
      <c r="G75" s="6">
        <f>SUMIF(OrdersTable[Phone Number],[[#This Row],Phone],OrdersTable[Selling Price])</f>
        <v>0</v>
      </c>
      <c r="H75" s="6">
        <f>SUMIF(OrdersTable[Phone Number],[[#This Row],Phone],OrdersTable[Profit])</f>
        <v>0</v>
      </c>
      <c r="I75">
        <f>IF([[#This Row],[Total Orders]]&gt;1,"Yes","No")</f>
        <v>0</v>
      </c>
    </row>
    <row r="76" spans="4:9" ht="20" customHeight="1">
      <c r="D76" s="5">
        <f>IFERROR(_xlfn.MINIFS(OrdersTable[Date],OrdersTable[Phone Number],[[#This Row],Phone]),"")</f>
        <v>0</v>
      </c>
      <c r="E76" s="5">
        <f>IFERROR(_xlfn.MAXIFS(OrdersTable[Date],OrdersTable[Phone Number],[[#This Row],Phone]),"")</f>
        <v>0</v>
      </c>
      <c r="F76" s="11">
        <f>COUNTIF(OrdersTable[Phone Number],[[#This Row],Phone])</f>
        <v>0</v>
      </c>
      <c r="G76" s="6">
        <f>SUMIF(OrdersTable[Phone Number],[[#This Row],Phone],OrdersTable[Selling Price])</f>
        <v>0</v>
      </c>
      <c r="H76" s="6">
        <f>SUMIF(OrdersTable[Phone Number],[[#This Row],Phone],OrdersTable[Profit])</f>
        <v>0</v>
      </c>
      <c r="I76">
        <f>IF([[#This Row],[Total Orders]]&gt;1,"Yes","No")</f>
        <v>0</v>
      </c>
    </row>
    <row r="77" spans="4:9" ht="20" customHeight="1">
      <c r="D77" s="5">
        <f>IFERROR(_xlfn.MINIFS(OrdersTable[Date],OrdersTable[Phone Number],[[#This Row],Phone]),"")</f>
        <v>0</v>
      </c>
      <c r="E77" s="5">
        <f>IFERROR(_xlfn.MAXIFS(OrdersTable[Date],OrdersTable[Phone Number],[[#This Row],Phone]),"")</f>
        <v>0</v>
      </c>
      <c r="F77" s="11">
        <f>COUNTIF(OrdersTable[Phone Number],[[#This Row],Phone])</f>
        <v>0</v>
      </c>
      <c r="G77" s="6">
        <f>SUMIF(OrdersTable[Phone Number],[[#This Row],Phone],OrdersTable[Selling Price])</f>
        <v>0</v>
      </c>
      <c r="H77" s="6">
        <f>SUMIF(OrdersTable[Phone Number],[[#This Row],Phone],OrdersTable[Profit])</f>
        <v>0</v>
      </c>
      <c r="I77">
        <f>IF([[#This Row],[Total Orders]]&gt;1,"Yes","No")</f>
        <v>0</v>
      </c>
    </row>
    <row r="78" spans="4:9" ht="20" customHeight="1">
      <c r="D78" s="5">
        <f>IFERROR(_xlfn.MINIFS(OrdersTable[Date],OrdersTable[Phone Number],[[#This Row],Phone]),"")</f>
        <v>0</v>
      </c>
      <c r="E78" s="5">
        <f>IFERROR(_xlfn.MAXIFS(OrdersTable[Date],OrdersTable[Phone Number],[[#This Row],Phone]),"")</f>
        <v>0</v>
      </c>
      <c r="F78" s="11">
        <f>COUNTIF(OrdersTable[Phone Number],[[#This Row],Phone])</f>
        <v>0</v>
      </c>
      <c r="G78" s="6">
        <f>SUMIF(OrdersTable[Phone Number],[[#This Row],Phone],OrdersTable[Selling Price])</f>
        <v>0</v>
      </c>
      <c r="H78" s="6">
        <f>SUMIF(OrdersTable[Phone Number],[[#This Row],Phone],OrdersTable[Profit])</f>
        <v>0</v>
      </c>
      <c r="I78">
        <f>IF([[#This Row],[Total Orders]]&gt;1,"Yes","No")</f>
        <v>0</v>
      </c>
    </row>
    <row r="79" spans="4:9" ht="20" customHeight="1">
      <c r="D79" s="5">
        <f>IFERROR(_xlfn.MINIFS(OrdersTable[Date],OrdersTable[Phone Number],[[#This Row],Phone]),"")</f>
        <v>0</v>
      </c>
      <c r="E79" s="5">
        <f>IFERROR(_xlfn.MAXIFS(OrdersTable[Date],OrdersTable[Phone Number],[[#This Row],Phone]),"")</f>
        <v>0</v>
      </c>
      <c r="F79" s="11">
        <f>COUNTIF(OrdersTable[Phone Number],[[#This Row],Phone])</f>
        <v>0</v>
      </c>
      <c r="G79" s="6">
        <f>SUMIF(OrdersTable[Phone Number],[[#This Row],Phone],OrdersTable[Selling Price])</f>
        <v>0</v>
      </c>
      <c r="H79" s="6">
        <f>SUMIF(OrdersTable[Phone Number],[[#This Row],Phone],OrdersTable[Profit])</f>
        <v>0</v>
      </c>
      <c r="I79">
        <f>IF([[#This Row],[Total Orders]]&gt;1,"Yes","No")</f>
        <v>0</v>
      </c>
    </row>
    <row r="80" spans="4:9" ht="20" customHeight="1">
      <c r="D80" s="5">
        <f>IFERROR(_xlfn.MINIFS(OrdersTable[Date],OrdersTable[Phone Number],[[#This Row],Phone]),"")</f>
        <v>0</v>
      </c>
      <c r="E80" s="5">
        <f>IFERROR(_xlfn.MAXIFS(OrdersTable[Date],OrdersTable[Phone Number],[[#This Row],Phone]),"")</f>
        <v>0</v>
      </c>
      <c r="F80" s="11">
        <f>COUNTIF(OrdersTable[Phone Number],[[#This Row],Phone])</f>
        <v>0</v>
      </c>
      <c r="G80" s="6">
        <f>SUMIF(OrdersTable[Phone Number],[[#This Row],Phone],OrdersTable[Selling Price])</f>
        <v>0</v>
      </c>
      <c r="H80" s="6">
        <f>SUMIF(OrdersTable[Phone Number],[[#This Row],Phone],OrdersTable[Profit])</f>
        <v>0</v>
      </c>
      <c r="I80">
        <f>IF([[#This Row],[Total Orders]]&gt;1,"Yes","No")</f>
        <v>0</v>
      </c>
    </row>
    <row r="81" spans="4:9" ht="20" customHeight="1">
      <c r="D81" s="5">
        <f>IFERROR(_xlfn.MINIFS(OrdersTable[Date],OrdersTable[Phone Number],[[#This Row],Phone]),"")</f>
        <v>0</v>
      </c>
      <c r="E81" s="5">
        <f>IFERROR(_xlfn.MAXIFS(OrdersTable[Date],OrdersTable[Phone Number],[[#This Row],Phone]),"")</f>
        <v>0</v>
      </c>
      <c r="F81" s="11">
        <f>COUNTIF(OrdersTable[Phone Number],[[#This Row],Phone])</f>
        <v>0</v>
      </c>
      <c r="G81" s="6">
        <f>SUMIF(OrdersTable[Phone Number],[[#This Row],Phone],OrdersTable[Selling Price])</f>
        <v>0</v>
      </c>
      <c r="H81" s="6">
        <f>SUMIF(OrdersTable[Phone Number],[[#This Row],Phone],OrdersTable[Profit])</f>
        <v>0</v>
      </c>
      <c r="I81">
        <f>IF([[#This Row],[Total Orders]]&gt;1,"Yes","No")</f>
        <v>0</v>
      </c>
    </row>
    <row r="82" spans="4:9" ht="20" customHeight="1">
      <c r="D82" s="5">
        <f>IFERROR(_xlfn.MINIFS(OrdersTable[Date],OrdersTable[Phone Number],[[#This Row],Phone]),"")</f>
        <v>0</v>
      </c>
      <c r="E82" s="5">
        <f>IFERROR(_xlfn.MAXIFS(OrdersTable[Date],OrdersTable[Phone Number],[[#This Row],Phone]),"")</f>
        <v>0</v>
      </c>
      <c r="F82" s="11">
        <f>COUNTIF(OrdersTable[Phone Number],[[#This Row],Phone])</f>
        <v>0</v>
      </c>
      <c r="G82" s="6">
        <f>SUMIF(OrdersTable[Phone Number],[[#This Row],Phone],OrdersTable[Selling Price])</f>
        <v>0</v>
      </c>
      <c r="H82" s="6">
        <f>SUMIF(OrdersTable[Phone Number],[[#This Row],Phone],OrdersTable[Profit])</f>
        <v>0</v>
      </c>
      <c r="I82">
        <f>IF([[#This Row],[Total Orders]]&gt;1,"Yes","No")</f>
        <v>0</v>
      </c>
    </row>
    <row r="83" spans="4:9" ht="20" customHeight="1">
      <c r="D83" s="5">
        <f>IFERROR(_xlfn.MINIFS(OrdersTable[Date],OrdersTable[Phone Number],[[#This Row],Phone]),"")</f>
        <v>0</v>
      </c>
      <c r="E83" s="5">
        <f>IFERROR(_xlfn.MAXIFS(OrdersTable[Date],OrdersTable[Phone Number],[[#This Row],Phone]),"")</f>
        <v>0</v>
      </c>
      <c r="F83" s="11">
        <f>COUNTIF(OrdersTable[Phone Number],[[#This Row],Phone])</f>
        <v>0</v>
      </c>
      <c r="G83" s="6">
        <f>SUMIF(OrdersTable[Phone Number],[[#This Row],Phone],OrdersTable[Selling Price])</f>
        <v>0</v>
      </c>
      <c r="H83" s="6">
        <f>SUMIF(OrdersTable[Phone Number],[[#This Row],Phone],OrdersTable[Profit])</f>
        <v>0</v>
      </c>
      <c r="I83">
        <f>IF([[#This Row],[Total Orders]]&gt;1,"Yes","No")</f>
        <v>0</v>
      </c>
    </row>
    <row r="84" spans="4:9" ht="20" customHeight="1">
      <c r="D84" s="5">
        <f>IFERROR(_xlfn.MINIFS(OrdersTable[Date],OrdersTable[Phone Number],[[#This Row],Phone]),"")</f>
        <v>0</v>
      </c>
      <c r="E84" s="5">
        <f>IFERROR(_xlfn.MAXIFS(OrdersTable[Date],OrdersTable[Phone Number],[[#This Row],Phone]),"")</f>
        <v>0</v>
      </c>
      <c r="F84" s="11">
        <f>COUNTIF(OrdersTable[Phone Number],[[#This Row],Phone])</f>
        <v>0</v>
      </c>
      <c r="G84" s="6">
        <f>SUMIF(OrdersTable[Phone Number],[[#This Row],Phone],OrdersTable[Selling Price])</f>
        <v>0</v>
      </c>
      <c r="H84" s="6">
        <f>SUMIF(OrdersTable[Phone Number],[[#This Row],Phone],OrdersTable[Profit])</f>
        <v>0</v>
      </c>
      <c r="I84">
        <f>IF([[#This Row],[Total Orders]]&gt;1,"Yes","No")</f>
        <v>0</v>
      </c>
    </row>
    <row r="85" spans="4:9" ht="20" customHeight="1">
      <c r="D85" s="5">
        <f>IFERROR(_xlfn.MINIFS(OrdersTable[Date],OrdersTable[Phone Number],[[#This Row],Phone]),"")</f>
        <v>0</v>
      </c>
      <c r="E85" s="5">
        <f>IFERROR(_xlfn.MAXIFS(OrdersTable[Date],OrdersTable[Phone Number],[[#This Row],Phone]),"")</f>
        <v>0</v>
      </c>
      <c r="F85" s="11">
        <f>COUNTIF(OrdersTable[Phone Number],[[#This Row],Phone])</f>
        <v>0</v>
      </c>
      <c r="G85" s="6">
        <f>SUMIF(OrdersTable[Phone Number],[[#This Row],Phone],OrdersTable[Selling Price])</f>
        <v>0</v>
      </c>
      <c r="H85" s="6">
        <f>SUMIF(OrdersTable[Phone Number],[[#This Row],Phone],OrdersTable[Profit])</f>
        <v>0</v>
      </c>
      <c r="I85">
        <f>IF([[#This Row],[Total Orders]]&gt;1,"Yes","No")</f>
        <v>0</v>
      </c>
    </row>
    <row r="86" spans="4:9" ht="20" customHeight="1">
      <c r="D86" s="5">
        <f>IFERROR(_xlfn.MINIFS(OrdersTable[Date],OrdersTable[Phone Number],[[#This Row],Phone]),"")</f>
        <v>0</v>
      </c>
      <c r="E86" s="5">
        <f>IFERROR(_xlfn.MAXIFS(OrdersTable[Date],OrdersTable[Phone Number],[[#This Row],Phone]),"")</f>
        <v>0</v>
      </c>
      <c r="F86" s="11">
        <f>COUNTIF(OrdersTable[Phone Number],[[#This Row],Phone])</f>
        <v>0</v>
      </c>
      <c r="G86" s="6">
        <f>SUMIF(OrdersTable[Phone Number],[[#This Row],Phone],OrdersTable[Selling Price])</f>
        <v>0</v>
      </c>
      <c r="H86" s="6">
        <f>SUMIF(OrdersTable[Phone Number],[[#This Row],Phone],OrdersTable[Profit])</f>
        <v>0</v>
      </c>
      <c r="I86">
        <f>IF([[#This Row],[Total Orders]]&gt;1,"Yes","No")</f>
        <v>0</v>
      </c>
    </row>
    <row r="87" spans="4:9" ht="20" customHeight="1">
      <c r="D87" s="5">
        <f>IFERROR(_xlfn.MINIFS(OrdersTable[Date],OrdersTable[Phone Number],[[#This Row],Phone]),"")</f>
        <v>0</v>
      </c>
      <c r="E87" s="5">
        <f>IFERROR(_xlfn.MAXIFS(OrdersTable[Date],OrdersTable[Phone Number],[[#This Row],Phone]),"")</f>
        <v>0</v>
      </c>
      <c r="F87" s="11">
        <f>COUNTIF(OrdersTable[Phone Number],[[#This Row],Phone])</f>
        <v>0</v>
      </c>
      <c r="G87" s="6">
        <f>SUMIF(OrdersTable[Phone Number],[[#This Row],Phone],OrdersTable[Selling Price])</f>
        <v>0</v>
      </c>
      <c r="H87" s="6">
        <f>SUMIF(OrdersTable[Phone Number],[[#This Row],Phone],OrdersTable[Profit])</f>
        <v>0</v>
      </c>
      <c r="I87">
        <f>IF([[#This Row],[Total Orders]]&gt;1,"Yes","No")</f>
        <v>0</v>
      </c>
    </row>
    <row r="88" spans="4:9" ht="20" customHeight="1">
      <c r="D88" s="5">
        <f>IFERROR(_xlfn.MINIFS(OrdersTable[Date],OrdersTable[Phone Number],[[#This Row],Phone]),"")</f>
        <v>0</v>
      </c>
      <c r="E88" s="5">
        <f>IFERROR(_xlfn.MAXIFS(OrdersTable[Date],OrdersTable[Phone Number],[[#This Row],Phone]),"")</f>
        <v>0</v>
      </c>
      <c r="F88" s="11">
        <f>COUNTIF(OrdersTable[Phone Number],[[#This Row],Phone])</f>
        <v>0</v>
      </c>
      <c r="G88" s="6">
        <f>SUMIF(OrdersTable[Phone Number],[[#This Row],Phone],OrdersTable[Selling Price])</f>
        <v>0</v>
      </c>
      <c r="H88" s="6">
        <f>SUMIF(OrdersTable[Phone Number],[[#This Row],Phone],OrdersTable[Profit])</f>
        <v>0</v>
      </c>
      <c r="I88">
        <f>IF([[#This Row],[Total Orders]]&gt;1,"Yes","No")</f>
        <v>0</v>
      </c>
    </row>
    <row r="89" spans="4:9" ht="20" customHeight="1">
      <c r="D89" s="5">
        <f>IFERROR(_xlfn.MINIFS(OrdersTable[Date],OrdersTable[Phone Number],[[#This Row],Phone]),"")</f>
        <v>0</v>
      </c>
      <c r="E89" s="5">
        <f>IFERROR(_xlfn.MAXIFS(OrdersTable[Date],OrdersTable[Phone Number],[[#This Row],Phone]),"")</f>
        <v>0</v>
      </c>
      <c r="F89" s="11">
        <f>COUNTIF(OrdersTable[Phone Number],[[#This Row],Phone])</f>
        <v>0</v>
      </c>
      <c r="G89" s="6">
        <f>SUMIF(OrdersTable[Phone Number],[[#This Row],Phone],OrdersTable[Selling Price])</f>
        <v>0</v>
      </c>
      <c r="H89" s="6">
        <f>SUMIF(OrdersTable[Phone Number],[[#This Row],Phone],OrdersTable[Profit])</f>
        <v>0</v>
      </c>
      <c r="I89">
        <f>IF([[#This Row],[Total Orders]]&gt;1,"Yes","No")</f>
        <v>0</v>
      </c>
    </row>
    <row r="90" spans="4:9" ht="20" customHeight="1">
      <c r="D90" s="5">
        <f>IFERROR(_xlfn.MINIFS(OrdersTable[Date],OrdersTable[Phone Number],[[#This Row],Phone]),"")</f>
        <v>0</v>
      </c>
      <c r="E90" s="5">
        <f>IFERROR(_xlfn.MAXIFS(OrdersTable[Date],OrdersTable[Phone Number],[[#This Row],Phone]),"")</f>
        <v>0</v>
      </c>
      <c r="F90" s="11">
        <f>COUNTIF(OrdersTable[Phone Number],[[#This Row],Phone])</f>
        <v>0</v>
      </c>
      <c r="G90" s="6">
        <f>SUMIF(OrdersTable[Phone Number],[[#This Row],Phone],OrdersTable[Selling Price])</f>
        <v>0</v>
      </c>
      <c r="H90" s="6">
        <f>SUMIF(OrdersTable[Phone Number],[[#This Row],Phone],OrdersTable[Profit])</f>
        <v>0</v>
      </c>
      <c r="I90">
        <f>IF([[#This Row],[Total Orders]]&gt;1,"Yes","No")</f>
        <v>0</v>
      </c>
    </row>
    <row r="91" spans="4:9" ht="20" customHeight="1">
      <c r="D91" s="5">
        <f>IFERROR(_xlfn.MINIFS(OrdersTable[Date],OrdersTable[Phone Number],[[#This Row],Phone]),"")</f>
        <v>0</v>
      </c>
      <c r="E91" s="5">
        <f>IFERROR(_xlfn.MAXIFS(OrdersTable[Date],OrdersTable[Phone Number],[[#This Row],Phone]),"")</f>
        <v>0</v>
      </c>
      <c r="F91" s="11">
        <f>COUNTIF(OrdersTable[Phone Number],[[#This Row],Phone])</f>
        <v>0</v>
      </c>
      <c r="G91" s="6">
        <f>SUMIF(OrdersTable[Phone Number],[[#This Row],Phone],OrdersTable[Selling Price])</f>
        <v>0</v>
      </c>
      <c r="H91" s="6">
        <f>SUMIF(OrdersTable[Phone Number],[[#This Row],Phone],OrdersTable[Profit])</f>
        <v>0</v>
      </c>
      <c r="I91">
        <f>IF([[#This Row],[Total Orders]]&gt;1,"Yes","No")</f>
        <v>0</v>
      </c>
    </row>
    <row r="92" spans="4:9" ht="20" customHeight="1">
      <c r="D92" s="5">
        <f>IFERROR(_xlfn.MINIFS(OrdersTable[Date],OrdersTable[Phone Number],[[#This Row],Phone]),"")</f>
        <v>0</v>
      </c>
      <c r="E92" s="5">
        <f>IFERROR(_xlfn.MAXIFS(OrdersTable[Date],OrdersTable[Phone Number],[[#This Row],Phone]),"")</f>
        <v>0</v>
      </c>
      <c r="F92" s="11">
        <f>COUNTIF(OrdersTable[Phone Number],[[#This Row],Phone])</f>
        <v>0</v>
      </c>
      <c r="G92" s="6">
        <f>SUMIF(OrdersTable[Phone Number],[[#This Row],Phone],OrdersTable[Selling Price])</f>
        <v>0</v>
      </c>
      <c r="H92" s="6">
        <f>SUMIF(OrdersTable[Phone Number],[[#This Row],Phone],OrdersTable[Profit])</f>
        <v>0</v>
      </c>
      <c r="I92">
        <f>IF([[#This Row],[Total Orders]]&gt;1,"Yes","No")</f>
        <v>0</v>
      </c>
    </row>
    <row r="93" spans="4:9" ht="20" customHeight="1">
      <c r="D93" s="5">
        <f>IFERROR(_xlfn.MINIFS(OrdersTable[Date],OrdersTable[Phone Number],[[#This Row],Phone]),"")</f>
        <v>0</v>
      </c>
      <c r="E93" s="5">
        <f>IFERROR(_xlfn.MAXIFS(OrdersTable[Date],OrdersTable[Phone Number],[[#This Row],Phone]),"")</f>
        <v>0</v>
      </c>
      <c r="F93" s="11">
        <f>COUNTIF(OrdersTable[Phone Number],[[#This Row],Phone])</f>
        <v>0</v>
      </c>
      <c r="G93" s="6">
        <f>SUMIF(OrdersTable[Phone Number],[[#This Row],Phone],OrdersTable[Selling Price])</f>
        <v>0</v>
      </c>
      <c r="H93" s="6">
        <f>SUMIF(OrdersTable[Phone Number],[[#This Row],Phone],OrdersTable[Profit])</f>
        <v>0</v>
      </c>
      <c r="I93">
        <f>IF([[#This Row],[Total Orders]]&gt;1,"Yes","No")</f>
        <v>0</v>
      </c>
    </row>
    <row r="94" spans="4:9" ht="20" customHeight="1">
      <c r="D94" s="5">
        <f>IFERROR(_xlfn.MINIFS(OrdersTable[Date],OrdersTable[Phone Number],[[#This Row],Phone]),"")</f>
        <v>0</v>
      </c>
      <c r="E94" s="5">
        <f>IFERROR(_xlfn.MAXIFS(OrdersTable[Date],OrdersTable[Phone Number],[[#This Row],Phone]),"")</f>
        <v>0</v>
      </c>
      <c r="F94" s="11">
        <f>COUNTIF(OrdersTable[Phone Number],[[#This Row],Phone])</f>
        <v>0</v>
      </c>
      <c r="G94" s="6">
        <f>SUMIF(OrdersTable[Phone Number],[[#This Row],Phone],OrdersTable[Selling Price])</f>
        <v>0</v>
      </c>
      <c r="H94" s="6">
        <f>SUMIF(OrdersTable[Phone Number],[[#This Row],Phone],OrdersTable[Profit])</f>
        <v>0</v>
      </c>
      <c r="I94">
        <f>IF([[#This Row],[Total Orders]]&gt;1,"Yes","No")</f>
        <v>0</v>
      </c>
    </row>
    <row r="95" spans="4:9" ht="20" customHeight="1">
      <c r="D95" s="5">
        <f>IFERROR(_xlfn.MINIFS(OrdersTable[Date],OrdersTable[Phone Number],[[#This Row],Phone]),"")</f>
        <v>0</v>
      </c>
      <c r="E95" s="5">
        <f>IFERROR(_xlfn.MAXIFS(OrdersTable[Date],OrdersTable[Phone Number],[[#This Row],Phone]),"")</f>
        <v>0</v>
      </c>
      <c r="F95" s="11">
        <f>COUNTIF(OrdersTable[Phone Number],[[#This Row],Phone])</f>
        <v>0</v>
      </c>
      <c r="G95" s="6">
        <f>SUMIF(OrdersTable[Phone Number],[[#This Row],Phone],OrdersTable[Selling Price])</f>
        <v>0</v>
      </c>
      <c r="H95" s="6">
        <f>SUMIF(OrdersTable[Phone Number],[[#This Row],Phone],OrdersTable[Profit])</f>
        <v>0</v>
      </c>
      <c r="I95">
        <f>IF([[#This Row],[Total Orders]]&gt;1,"Yes","No")</f>
        <v>0</v>
      </c>
    </row>
    <row r="96" spans="4:9" ht="20" customHeight="1">
      <c r="D96" s="5">
        <f>IFERROR(_xlfn.MINIFS(OrdersTable[Date],OrdersTable[Phone Number],[[#This Row],Phone]),"")</f>
        <v>0</v>
      </c>
      <c r="E96" s="5">
        <f>IFERROR(_xlfn.MAXIFS(OrdersTable[Date],OrdersTable[Phone Number],[[#This Row],Phone]),"")</f>
        <v>0</v>
      </c>
      <c r="F96" s="11">
        <f>COUNTIF(OrdersTable[Phone Number],[[#This Row],Phone])</f>
        <v>0</v>
      </c>
      <c r="G96" s="6">
        <f>SUMIF(OrdersTable[Phone Number],[[#This Row],Phone],OrdersTable[Selling Price])</f>
        <v>0</v>
      </c>
      <c r="H96" s="6">
        <f>SUMIF(OrdersTable[Phone Number],[[#This Row],Phone],OrdersTable[Profit])</f>
        <v>0</v>
      </c>
      <c r="I96">
        <f>IF([[#This Row],[Total Orders]]&gt;1,"Yes","No")</f>
        <v>0</v>
      </c>
    </row>
    <row r="97" spans="4:9" ht="20" customHeight="1">
      <c r="D97" s="5">
        <f>IFERROR(_xlfn.MINIFS(OrdersTable[Date],OrdersTable[Phone Number],[[#This Row],Phone]),"")</f>
        <v>0</v>
      </c>
      <c r="E97" s="5">
        <f>IFERROR(_xlfn.MAXIFS(OrdersTable[Date],OrdersTable[Phone Number],[[#This Row],Phone]),"")</f>
        <v>0</v>
      </c>
      <c r="F97" s="11">
        <f>COUNTIF(OrdersTable[Phone Number],[[#This Row],Phone])</f>
        <v>0</v>
      </c>
      <c r="G97" s="6">
        <f>SUMIF(OrdersTable[Phone Number],[[#This Row],Phone],OrdersTable[Selling Price])</f>
        <v>0</v>
      </c>
      <c r="H97" s="6">
        <f>SUMIF(OrdersTable[Phone Number],[[#This Row],Phone],OrdersTable[Profit])</f>
        <v>0</v>
      </c>
      <c r="I97">
        <f>IF([[#This Row],[Total Orders]]&gt;1,"Yes","No")</f>
        <v>0</v>
      </c>
    </row>
    <row r="98" spans="4:9" ht="20" customHeight="1">
      <c r="D98" s="5">
        <f>IFERROR(_xlfn.MINIFS(OrdersTable[Date],OrdersTable[Phone Number],[[#This Row],Phone]),"")</f>
        <v>0</v>
      </c>
      <c r="E98" s="5">
        <f>IFERROR(_xlfn.MAXIFS(OrdersTable[Date],OrdersTable[Phone Number],[[#This Row],Phone]),"")</f>
        <v>0</v>
      </c>
      <c r="F98" s="11">
        <f>COUNTIF(OrdersTable[Phone Number],[[#This Row],Phone])</f>
        <v>0</v>
      </c>
      <c r="G98" s="6">
        <f>SUMIF(OrdersTable[Phone Number],[[#This Row],Phone],OrdersTable[Selling Price])</f>
        <v>0</v>
      </c>
      <c r="H98" s="6">
        <f>SUMIF(OrdersTable[Phone Number],[[#This Row],Phone],OrdersTable[Profit])</f>
        <v>0</v>
      </c>
      <c r="I98">
        <f>IF([[#This Row],[Total Orders]]&gt;1,"Yes","No")</f>
        <v>0</v>
      </c>
    </row>
    <row r="99" spans="4:9" ht="20" customHeight="1">
      <c r="D99" s="5">
        <f>IFERROR(_xlfn.MINIFS(OrdersTable[Date],OrdersTable[Phone Number],[[#This Row],Phone]),"")</f>
        <v>0</v>
      </c>
      <c r="E99" s="5">
        <f>IFERROR(_xlfn.MAXIFS(OrdersTable[Date],OrdersTable[Phone Number],[[#This Row],Phone]),"")</f>
        <v>0</v>
      </c>
      <c r="F99" s="11">
        <f>COUNTIF(OrdersTable[Phone Number],[[#This Row],Phone])</f>
        <v>0</v>
      </c>
      <c r="G99" s="6">
        <f>SUMIF(OrdersTable[Phone Number],[[#This Row],Phone],OrdersTable[Selling Price])</f>
        <v>0</v>
      </c>
      <c r="H99" s="6">
        <f>SUMIF(OrdersTable[Phone Number],[[#This Row],Phone],OrdersTable[Profit])</f>
        <v>0</v>
      </c>
      <c r="I99">
        <f>IF([[#This Row],[Total Orders]]&gt;1,"Yes","No")</f>
        <v>0</v>
      </c>
    </row>
    <row r="100" spans="4:9" ht="20" customHeight="1">
      <c r="D100" s="5">
        <f>IFERROR(_xlfn.MINIFS(OrdersTable[Date],OrdersTable[Phone Number],[[#This Row],Phone]),"")</f>
        <v>0</v>
      </c>
      <c r="E100" s="5">
        <f>IFERROR(_xlfn.MAXIFS(OrdersTable[Date],OrdersTable[Phone Number],[[#This Row],Phone]),"")</f>
        <v>0</v>
      </c>
      <c r="F100" s="11">
        <f>COUNTIF(OrdersTable[Phone Number],[[#This Row],Phone])</f>
        <v>0</v>
      </c>
      <c r="G100" s="6">
        <f>SUMIF(OrdersTable[Phone Number],[[#This Row],Phone],OrdersTable[Selling Price])</f>
        <v>0</v>
      </c>
      <c r="H100" s="6">
        <f>SUMIF(OrdersTable[Phone Number],[[#This Row],Phone],OrdersTable[Profit])</f>
        <v>0</v>
      </c>
      <c r="I100">
        <f>IF([[#This Row],[Total Orders]]&gt;1,"Yes","No")</f>
        <v>0</v>
      </c>
    </row>
    <row r="101" spans="4:9" ht="20" customHeight="1">
      <c r="D101" s="5">
        <f>IFERROR(_xlfn.MINIFS(OrdersTable[Date],OrdersTable[Phone Number],[[#This Row],Phone]),"")</f>
        <v>0</v>
      </c>
      <c r="E101" s="5">
        <f>IFERROR(_xlfn.MAXIFS(OrdersTable[Date],OrdersTable[Phone Number],[[#This Row],Phone]),"")</f>
        <v>0</v>
      </c>
      <c r="F101" s="11">
        <f>COUNTIF(OrdersTable[Phone Number],[[#This Row],Phone])</f>
        <v>0</v>
      </c>
      <c r="G101" s="6">
        <f>SUMIF(OrdersTable[Phone Number],[[#This Row],Phone],OrdersTable[Selling Price])</f>
        <v>0</v>
      </c>
      <c r="H101" s="6">
        <f>SUMIF(OrdersTable[Phone Number],[[#This Row],Phone],OrdersTable[Profit])</f>
        <v>0</v>
      </c>
      <c r="I101">
        <f>IF([[#This Row],[Total Orders]]&gt;1,"Yes","No")</f>
        <v>0</v>
      </c>
    </row>
    <row r="102" spans="4:9" ht="20" customHeight="1">
      <c r="D102" s="5">
        <f>IFERROR(_xlfn.MINIFS(OrdersTable[Date],OrdersTable[Phone Number],[[#This Row],Phone]),"")</f>
        <v>0</v>
      </c>
      <c r="E102" s="5">
        <f>IFERROR(_xlfn.MAXIFS(OrdersTable[Date],OrdersTable[Phone Number],[[#This Row],Phone]),"")</f>
        <v>0</v>
      </c>
      <c r="F102" s="11">
        <f>COUNTIF(OrdersTable[Phone Number],[[#This Row],Phone])</f>
        <v>0</v>
      </c>
      <c r="G102" s="6">
        <f>SUMIF(OrdersTable[Phone Number],[[#This Row],Phone],OrdersTable[Selling Price])</f>
        <v>0</v>
      </c>
      <c r="H102" s="6">
        <f>SUMIF(OrdersTable[Phone Number],[[#This Row],Phone],OrdersTable[Profit])</f>
        <v>0</v>
      </c>
      <c r="I102">
        <f>IF([[#This Row],[Total Orders]]&gt;1,"Yes","No")</f>
        <v>0</v>
      </c>
    </row>
    <row r="103" spans="4:9" ht="20" customHeight="1">
      <c r="D103" s="5">
        <f>IFERROR(_xlfn.MINIFS(OrdersTable[Date],OrdersTable[Phone Number],[[#This Row],Phone]),"")</f>
        <v>0</v>
      </c>
      <c r="E103" s="5">
        <f>IFERROR(_xlfn.MAXIFS(OrdersTable[Date],OrdersTable[Phone Number],[[#This Row],Phone]),"")</f>
        <v>0</v>
      </c>
      <c r="F103" s="11">
        <f>COUNTIF(OrdersTable[Phone Number],[[#This Row],Phone])</f>
        <v>0</v>
      </c>
      <c r="G103" s="6">
        <f>SUMIF(OrdersTable[Phone Number],[[#This Row],Phone],OrdersTable[Selling Price])</f>
        <v>0</v>
      </c>
      <c r="H103" s="6">
        <f>SUMIF(OrdersTable[Phone Number],[[#This Row],Phone],OrdersTable[Profit])</f>
        <v>0</v>
      </c>
      <c r="I103">
        <f>IF([[#This Row],[Total Orders]]&gt;1,"Yes","No")</f>
        <v>0</v>
      </c>
    </row>
    <row r="104" spans="4:9" ht="20" customHeight="1">
      <c r="D104" s="5">
        <f>IFERROR(_xlfn.MINIFS(OrdersTable[Date],OrdersTable[Phone Number],[[#This Row],Phone]),"")</f>
        <v>0</v>
      </c>
      <c r="E104" s="5">
        <f>IFERROR(_xlfn.MAXIFS(OrdersTable[Date],OrdersTable[Phone Number],[[#This Row],Phone]),"")</f>
        <v>0</v>
      </c>
      <c r="F104" s="11">
        <f>COUNTIF(OrdersTable[Phone Number],[[#This Row],Phone])</f>
        <v>0</v>
      </c>
      <c r="G104" s="6">
        <f>SUMIF(OrdersTable[Phone Number],[[#This Row],Phone],OrdersTable[Selling Price])</f>
        <v>0</v>
      </c>
      <c r="H104" s="6">
        <f>SUMIF(OrdersTable[Phone Number],[[#This Row],Phone],OrdersTable[Profit])</f>
        <v>0</v>
      </c>
      <c r="I104">
        <f>IF([[#This Row],[Total Orders]]&gt;1,"Yes","No")</f>
        <v>0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B9A9A"/>
  </sheetPr>
  <dimension ref="A1:G2"/>
  <sheetViews>
    <sheetView showGridLines="0" workbookViewId="0">
      <pane ySplit="4" topLeftCell="A5" activePane="bottomLeft" state="frozen"/>
      <selection pane="bottomLeft"/>
    </sheetView>
  </sheetViews>
  <sheetFormatPr defaultRowHeight="20" customHeight="1"/>
  <cols>
    <col min="1" max="1" width="15.7109375" customWidth="1"/>
    <col min="2" max="2" width="22.7109375" customWidth="1"/>
    <col min="3" max="4" width="25.7109375" customWidth="1"/>
    <col min="5" max="5" width="16.7109375" customWidth="1"/>
    <col min="6" max="6" width="18.7109375" customWidth="1"/>
    <col min="7" max="7" width="14.7109375" customWidth="1"/>
  </cols>
  <sheetData>
    <row r="1" spans="1:7" ht="30" customHeight="1">
      <c r="A1" s="3" t="s">
        <v>227</v>
      </c>
      <c r="B1" s="3"/>
      <c r="C1" s="3"/>
      <c r="D1" s="3"/>
      <c r="E1" s="3"/>
      <c r="F1" s="3"/>
      <c r="G1" s="3"/>
    </row>
    <row r="2" spans="1:7" ht="20" customHeight="1">
      <c r="A2" s="4" t="s">
        <v>228</v>
      </c>
      <c r="B2" s="4"/>
      <c r="C2" s="4"/>
      <c r="D2" s="4"/>
      <c r="E2" s="4"/>
      <c r="F2" s="4"/>
      <c r="G2" s="4"/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B9A9A"/>
  </sheetPr>
  <dimension ref="A1:G104"/>
  <sheetViews>
    <sheetView showGridLines="0" workbookViewId="0">
      <pane ySplit="4" topLeftCell="A5" activePane="bottomLeft" state="frozen"/>
      <selection pane="bottomLeft"/>
    </sheetView>
  </sheetViews>
  <sheetFormatPr defaultRowHeight="20" customHeight="1"/>
  <cols>
    <col min="1" max="1" width="16.7109375" customWidth="1"/>
    <col min="2" max="2" width="14.7109375" customWidth="1"/>
    <col min="3" max="7" width="16.7109375" customWidth="1"/>
  </cols>
  <sheetData>
    <row r="1" spans="1:7" ht="30" customHeight="1">
      <c r="A1" s="3" t="s">
        <v>229</v>
      </c>
      <c r="B1" s="3"/>
      <c r="C1" s="3"/>
      <c r="D1" s="3"/>
      <c r="E1" s="3"/>
      <c r="F1" s="3"/>
      <c r="G1" s="3"/>
    </row>
    <row r="2" spans="1:7" ht="20" customHeight="1">
      <c r="A2" s="4" t="s">
        <v>230</v>
      </c>
      <c r="B2" s="4"/>
      <c r="C2" s="4"/>
      <c r="D2" s="4"/>
      <c r="E2" s="4"/>
      <c r="F2" s="4"/>
      <c r="G2" s="4"/>
    </row>
    <row r="4" spans="1:7" ht="20" customHeight="1">
      <c r="A4" t="s">
        <v>231</v>
      </c>
      <c r="B4" t="s">
        <v>35</v>
      </c>
      <c r="C4" t="s">
        <v>232</v>
      </c>
      <c r="D4" t="s">
        <v>233</v>
      </c>
      <c r="E4" t="s">
        <v>56</v>
      </c>
      <c r="F4" t="s">
        <v>203</v>
      </c>
      <c r="G4" t="s">
        <v>234</v>
      </c>
    </row>
    <row r="5" spans="1:7" ht="20" customHeight="1">
      <c r="A5" s="12">
        <v>46023</v>
      </c>
      <c r="B5" s="11">
        <f>COUNTIFS(OrdersTable[Date],"&gt;="&amp;[[#This Row],Month],OrdersTable[Date],"&lt;"&amp;EDATE([[#This Row],Month],1))</f>
        <v>0</v>
      </c>
      <c r="C5" s="6">
        <f>SUMIFS(OrdersTable[Selling Price],OrdersTable[Date],"&gt;="&amp;[[#This Row],Month],OrdersTable[Date],"&lt;"&amp;EDATE([[#This Row],Month],1))</f>
        <v>0</v>
      </c>
      <c r="D5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" s="6">
        <f>SUMIFS(OrdersTable[Profit],OrdersTable[Date],"&gt;="&amp;[[#This Row],Month],OrdersTable[Date],"&lt;"&amp;EDATE([[#This Row],Month],1))</f>
        <v>0</v>
      </c>
      <c r="F5" s="6">
        <f>SUMIFS(ExpensesTable[Amount],ExpensesTable[Date],"&gt;="&amp;[[#This Row],Month],ExpensesTable[Date],"&lt;"&amp;EDATE([[#This Row],Month],1))</f>
        <v>0</v>
      </c>
      <c r="G5" s="6">
        <f>[[#This Row],Profit]-[[#This Row],Expenses]</f>
        <v>0</v>
      </c>
    </row>
    <row r="6" spans="1:7" ht="20" customHeight="1">
      <c r="A6" s="12">
        <v>46054</v>
      </c>
      <c r="B6" s="11">
        <f>COUNTIFS(OrdersTable[Date],"&gt;="&amp;[[#This Row],Month],OrdersTable[Date],"&lt;"&amp;EDATE([[#This Row],Month],1))</f>
        <v>0</v>
      </c>
      <c r="C6" s="6">
        <f>SUMIFS(OrdersTable[Selling Price],OrdersTable[Date],"&gt;="&amp;[[#This Row],Month],OrdersTable[Date],"&lt;"&amp;EDATE([[#This Row],Month],1))</f>
        <v>0</v>
      </c>
      <c r="D6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" s="6">
        <f>SUMIFS(OrdersTable[Profit],OrdersTable[Date],"&gt;="&amp;[[#This Row],Month],OrdersTable[Date],"&lt;"&amp;EDATE([[#This Row],Month],1))</f>
        <v>0</v>
      </c>
      <c r="F6" s="6">
        <f>SUMIFS(ExpensesTable[Amount],ExpensesTable[Date],"&gt;="&amp;[[#This Row],Month],ExpensesTable[Date],"&lt;"&amp;EDATE([[#This Row],Month],1))</f>
        <v>0</v>
      </c>
      <c r="G6" s="6">
        <f>[[#This Row],Profit]-[[#This Row],Expenses]</f>
        <v>0</v>
      </c>
    </row>
    <row r="7" spans="1:7" ht="20" customHeight="1">
      <c r="A7" s="12">
        <v>46082</v>
      </c>
      <c r="B7" s="11">
        <f>COUNTIFS(OrdersTable[Date],"&gt;="&amp;[[#This Row],Month],OrdersTable[Date],"&lt;"&amp;EDATE([[#This Row],Month],1))</f>
        <v>0</v>
      </c>
      <c r="C7" s="6">
        <f>SUMIFS(OrdersTable[Selling Price],OrdersTable[Date],"&gt;="&amp;[[#This Row],Month],OrdersTable[Date],"&lt;"&amp;EDATE([[#This Row],Month],1))</f>
        <v>0</v>
      </c>
      <c r="D7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" s="6">
        <f>SUMIFS(OrdersTable[Profit],OrdersTable[Date],"&gt;="&amp;[[#This Row],Month],OrdersTable[Date],"&lt;"&amp;EDATE([[#This Row],Month],1))</f>
        <v>0</v>
      </c>
      <c r="F7" s="6">
        <f>SUMIFS(ExpensesTable[Amount],ExpensesTable[Date],"&gt;="&amp;[[#This Row],Month],ExpensesTable[Date],"&lt;"&amp;EDATE([[#This Row],Month],1))</f>
        <v>0</v>
      </c>
      <c r="G7" s="6">
        <f>[[#This Row],Profit]-[[#This Row],Expenses]</f>
        <v>0</v>
      </c>
    </row>
    <row r="8" spans="1:7" ht="20" customHeight="1">
      <c r="A8" s="12">
        <v>46113</v>
      </c>
      <c r="B8" s="11">
        <f>COUNTIFS(OrdersTable[Date],"&gt;="&amp;[[#This Row],Month],OrdersTable[Date],"&lt;"&amp;EDATE([[#This Row],Month],1))</f>
        <v>0</v>
      </c>
      <c r="C8" s="6">
        <f>SUMIFS(OrdersTable[Selling Price],OrdersTable[Date],"&gt;="&amp;[[#This Row],Month],OrdersTable[Date],"&lt;"&amp;EDATE([[#This Row],Month],1))</f>
        <v>0</v>
      </c>
      <c r="D8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" s="6">
        <f>SUMIFS(OrdersTable[Profit],OrdersTable[Date],"&gt;="&amp;[[#This Row],Month],OrdersTable[Date],"&lt;"&amp;EDATE([[#This Row],Month],1))</f>
        <v>0</v>
      </c>
      <c r="F8" s="6">
        <f>SUMIFS(ExpensesTable[Amount],ExpensesTable[Date],"&gt;="&amp;[[#This Row],Month],ExpensesTable[Date],"&lt;"&amp;EDATE([[#This Row],Month],1))</f>
        <v>0</v>
      </c>
      <c r="G8" s="6">
        <f>[[#This Row],Profit]-[[#This Row],Expenses]</f>
        <v>0</v>
      </c>
    </row>
    <row r="9" spans="1:7" ht="20" customHeight="1">
      <c r="A9" s="12">
        <v>46143</v>
      </c>
      <c r="B9" s="11">
        <f>COUNTIFS(OrdersTable[Date],"&gt;="&amp;[[#This Row],Month],OrdersTable[Date],"&lt;"&amp;EDATE([[#This Row],Month],1))</f>
        <v>0</v>
      </c>
      <c r="C9" s="6">
        <f>SUMIFS(OrdersTable[Selling Price],OrdersTable[Date],"&gt;="&amp;[[#This Row],Month],OrdersTable[Date],"&lt;"&amp;EDATE([[#This Row],Month],1))</f>
        <v>0</v>
      </c>
      <c r="D9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" s="6">
        <f>SUMIFS(OrdersTable[Profit],OrdersTable[Date],"&gt;="&amp;[[#This Row],Month],OrdersTable[Date],"&lt;"&amp;EDATE([[#This Row],Month],1))</f>
        <v>0</v>
      </c>
      <c r="F9" s="6">
        <f>SUMIFS(ExpensesTable[Amount],ExpensesTable[Date],"&gt;="&amp;[[#This Row],Month],ExpensesTable[Date],"&lt;"&amp;EDATE([[#This Row],Month],1))</f>
        <v>0</v>
      </c>
      <c r="G9" s="6">
        <f>[[#This Row],Profit]-[[#This Row],Expenses]</f>
        <v>0</v>
      </c>
    </row>
    <row r="10" spans="1:7" ht="20" customHeight="1">
      <c r="A10" s="12">
        <v>46174</v>
      </c>
      <c r="B10" s="11">
        <f>COUNTIFS(OrdersTable[Date],"&gt;="&amp;[[#This Row],Month],OrdersTable[Date],"&lt;"&amp;EDATE([[#This Row],Month],1))</f>
        <v>0</v>
      </c>
      <c r="C10" s="6">
        <f>SUMIFS(OrdersTable[Selling Price],OrdersTable[Date],"&gt;="&amp;[[#This Row],Month],OrdersTable[Date],"&lt;"&amp;EDATE([[#This Row],Month],1))</f>
        <v>0</v>
      </c>
      <c r="D10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0" s="6">
        <f>SUMIFS(OrdersTable[Profit],OrdersTable[Date],"&gt;="&amp;[[#This Row],Month],OrdersTable[Date],"&lt;"&amp;EDATE([[#This Row],Month],1))</f>
        <v>0</v>
      </c>
      <c r="F10" s="6">
        <f>SUMIFS(ExpensesTable[Amount],ExpensesTable[Date],"&gt;="&amp;[[#This Row],Month],ExpensesTable[Date],"&lt;"&amp;EDATE([[#This Row],Month],1))</f>
        <v>0</v>
      </c>
      <c r="G10" s="6">
        <f>[[#This Row],Profit]-[[#This Row],Expenses]</f>
        <v>0</v>
      </c>
    </row>
    <row r="11" spans="1:7" ht="20" customHeight="1">
      <c r="A11" s="12">
        <v>46204</v>
      </c>
      <c r="B11" s="11">
        <f>COUNTIFS(OrdersTable[Date],"&gt;="&amp;[[#This Row],Month],OrdersTable[Date],"&lt;"&amp;EDATE([[#This Row],Month],1))</f>
        <v>0</v>
      </c>
      <c r="C11" s="6">
        <f>SUMIFS(OrdersTable[Selling Price],OrdersTable[Date],"&gt;="&amp;[[#This Row],Month],OrdersTable[Date],"&lt;"&amp;EDATE([[#This Row],Month],1))</f>
        <v>0</v>
      </c>
      <c r="D11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1" s="6">
        <f>SUMIFS(OrdersTable[Profit],OrdersTable[Date],"&gt;="&amp;[[#This Row],Month],OrdersTable[Date],"&lt;"&amp;EDATE([[#This Row],Month],1))</f>
        <v>0</v>
      </c>
      <c r="F11" s="6">
        <f>SUMIFS(ExpensesTable[Amount],ExpensesTable[Date],"&gt;="&amp;[[#This Row],Month],ExpensesTable[Date],"&lt;"&amp;EDATE([[#This Row],Month],1))</f>
        <v>0</v>
      </c>
      <c r="G11" s="6">
        <f>[[#This Row],Profit]-[[#This Row],Expenses]</f>
        <v>0</v>
      </c>
    </row>
    <row r="12" spans="1:7" ht="20" customHeight="1">
      <c r="A12" s="12">
        <v>46235</v>
      </c>
      <c r="B12" s="11">
        <f>COUNTIFS(OrdersTable[Date],"&gt;="&amp;[[#This Row],Month],OrdersTable[Date],"&lt;"&amp;EDATE([[#This Row],Month],1))</f>
        <v>0</v>
      </c>
      <c r="C12" s="6">
        <f>SUMIFS(OrdersTable[Selling Price],OrdersTable[Date],"&gt;="&amp;[[#This Row],Month],OrdersTable[Date],"&lt;"&amp;EDATE([[#This Row],Month],1))</f>
        <v>0</v>
      </c>
      <c r="D12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2" s="6">
        <f>SUMIFS(OrdersTable[Profit],OrdersTable[Date],"&gt;="&amp;[[#This Row],Month],OrdersTable[Date],"&lt;"&amp;EDATE([[#This Row],Month],1))</f>
        <v>0</v>
      </c>
      <c r="F12" s="6">
        <f>SUMIFS(ExpensesTable[Amount],ExpensesTable[Date],"&gt;="&amp;[[#This Row],Month],ExpensesTable[Date],"&lt;"&amp;EDATE([[#This Row],Month],1))</f>
        <v>0</v>
      </c>
      <c r="G12" s="6">
        <f>[[#This Row],Profit]-[[#This Row],Expenses]</f>
        <v>0</v>
      </c>
    </row>
    <row r="13" spans="1:7" ht="20" customHeight="1">
      <c r="A13" s="12">
        <v>46266</v>
      </c>
      <c r="B13" s="11">
        <f>COUNTIFS(OrdersTable[Date],"&gt;="&amp;[[#This Row],Month],OrdersTable[Date],"&lt;"&amp;EDATE([[#This Row],Month],1))</f>
        <v>0</v>
      </c>
      <c r="C13" s="6">
        <f>SUMIFS(OrdersTable[Selling Price],OrdersTable[Date],"&gt;="&amp;[[#This Row],Month],OrdersTable[Date],"&lt;"&amp;EDATE([[#This Row],Month],1))</f>
        <v>0</v>
      </c>
      <c r="D13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3" s="6">
        <f>SUMIFS(OrdersTable[Profit],OrdersTable[Date],"&gt;="&amp;[[#This Row],Month],OrdersTable[Date],"&lt;"&amp;EDATE([[#This Row],Month],1))</f>
        <v>0</v>
      </c>
      <c r="F13" s="6">
        <f>SUMIFS(ExpensesTable[Amount],ExpensesTable[Date],"&gt;="&amp;[[#This Row],Month],ExpensesTable[Date],"&lt;"&amp;EDATE([[#This Row],Month],1))</f>
        <v>0</v>
      </c>
      <c r="G13" s="6">
        <f>[[#This Row],Profit]-[[#This Row],Expenses]</f>
        <v>0</v>
      </c>
    </row>
    <row r="14" spans="1:7" ht="20" customHeight="1">
      <c r="A14" s="12">
        <v>46296</v>
      </c>
      <c r="B14" s="11">
        <f>COUNTIFS(OrdersTable[Date],"&gt;="&amp;[[#This Row],Month],OrdersTable[Date],"&lt;"&amp;EDATE([[#This Row],Month],1))</f>
        <v>0</v>
      </c>
      <c r="C14" s="6">
        <f>SUMIFS(OrdersTable[Selling Price],OrdersTable[Date],"&gt;="&amp;[[#This Row],Month],OrdersTable[Date],"&lt;"&amp;EDATE([[#This Row],Month],1))</f>
        <v>0</v>
      </c>
      <c r="D14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4" s="6">
        <f>SUMIFS(OrdersTable[Profit],OrdersTable[Date],"&gt;="&amp;[[#This Row],Month],OrdersTable[Date],"&lt;"&amp;EDATE([[#This Row],Month],1))</f>
        <v>0</v>
      </c>
      <c r="F14" s="6">
        <f>SUMIFS(ExpensesTable[Amount],ExpensesTable[Date],"&gt;="&amp;[[#This Row],Month],ExpensesTable[Date],"&lt;"&amp;EDATE([[#This Row],Month],1))</f>
        <v>0</v>
      </c>
      <c r="G14" s="6">
        <f>[[#This Row],Profit]-[[#This Row],Expenses]</f>
        <v>0</v>
      </c>
    </row>
    <row r="15" spans="1:7" ht="20" customHeight="1">
      <c r="A15" s="12">
        <v>46327</v>
      </c>
      <c r="B15" s="11">
        <f>COUNTIFS(OrdersTable[Date],"&gt;="&amp;[[#This Row],Month],OrdersTable[Date],"&lt;"&amp;EDATE([[#This Row],Month],1))</f>
        <v>0</v>
      </c>
      <c r="C15" s="6">
        <f>SUMIFS(OrdersTable[Selling Price],OrdersTable[Date],"&gt;="&amp;[[#This Row],Month],OrdersTable[Date],"&lt;"&amp;EDATE([[#This Row],Month],1))</f>
        <v>0</v>
      </c>
      <c r="D15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5" s="6">
        <f>SUMIFS(OrdersTable[Profit],OrdersTable[Date],"&gt;="&amp;[[#This Row],Month],OrdersTable[Date],"&lt;"&amp;EDATE([[#This Row],Month],1))</f>
        <v>0</v>
      </c>
      <c r="F15" s="6">
        <f>SUMIFS(ExpensesTable[Amount],ExpensesTable[Date],"&gt;="&amp;[[#This Row],Month],ExpensesTable[Date],"&lt;"&amp;EDATE([[#This Row],Month],1))</f>
        <v>0</v>
      </c>
      <c r="G15" s="6">
        <f>[[#This Row],Profit]-[[#This Row],Expenses]</f>
        <v>0</v>
      </c>
    </row>
    <row r="16" spans="1:7" ht="20" customHeight="1">
      <c r="A16" s="12">
        <v>46357</v>
      </c>
      <c r="B16" s="11">
        <f>COUNTIFS(OrdersTable[Date],"&gt;="&amp;[[#This Row],Month],OrdersTable[Date],"&lt;"&amp;EDATE([[#This Row],Month],1))</f>
        <v>0</v>
      </c>
      <c r="C16" s="6">
        <f>SUMIFS(OrdersTable[Selling Price],OrdersTable[Date],"&gt;="&amp;[[#This Row],Month],OrdersTable[Date],"&lt;"&amp;EDATE([[#This Row],Month],1))</f>
        <v>0</v>
      </c>
      <c r="D16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6" s="6">
        <f>SUMIFS(OrdersTable[Profit],OrdersTable[Date],"&gt;="&amp;[[#This Row],Month],OrdersTable[Date],"&lt;"&amp;EDATE([[#This Row],Month],1))</f>
        <v>0</v>
      </c>
      <c r="F16" s="6">
        <f>SUMIFS(ExpensesTable[Amount],ExpensesTable[Date],"&gt;="&amp;[[#This Row],Month],ExpensesTable[Date],"&lt;"&amp;EDATE([[#This Row],Month],1))</f>
        <v>0</v>
      </c>
      <c r="G16" s="6">
        <f>[[#This Row],Profit]-[[#This Row],Expenses]</f>
        <v>0</v>
      </c>
    </row>
    <row r="17" spans="1:7" ht="20" customHeight="1">
      <c r="A17" s="12"/>
      <c r="B17" s="11">
        <f>COUNTIFS(OrdersTable[Date],"&gt;="&amp;[[#This Row],Month],OrdersTable[Date],"&lt;"&amp;EDATE([[#This Row],Month],1))</f>
        <v>0</v>
      </c>
      <c r="C17" s="6">
        <f>SUMIFS(OrdersTable[Selling Price],OrdersTable[Date],"&gt;="&amp;[[#This Row],Month],OrdersTable[Date],"&lt;"&amp;EDATE([[#This Row],Month],1))</f>
        <v>0</v>
      </c>
      <c r="D17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7" s="6">
        <f>SUMIFS(OrdersTable[Profit],OrdersTable[Date],"&gt;="&amp;[[#This Row],Month],OrdersTable[Date],"&lt;"&amp;EDATE([[#This Row],Month],1))</f>
        <v>0</v>
      </c>
      <c r="F17" s="6">
        <f>SUMIFS(ExpensesTable[Amount],ExpensesTable[Date],"&gt;="&amp;[[#This Row],Month],ExpensesTable[Date],"&lt;"&amp;EDATE([[#This Row],Month],1))</f>
        <v>0</v>
      </c>
      <c r="G17" s="6">
        <f>[[#This Row],Profit]-[[#This Row],Expenses]</f>
        <v>0</v>
      </c>
    </row>
    <row r="18" spans="1:7" ht="20" customHeight="1">
      <c r="A18" s="12"/>
      <c r="B18" s="11">
        <f>COUNTIFS(OrdersTable[Date],"&gt;="&amp;[[#This Row],Month],OrdersTable[Date],"&lt;"&amp;EDATE([[#This Row],Month],1))</f>
        <v>0</v>
      </c>
      <c r="C18" s="6">
        <f>SUMIFS(OrdersTable[Selling Price],OrdersTable[Date],"&gt;="&amp;[[#This Row],Month],OrdersTable[Date],"&lt;"&amp;EDATE([[#This Row],Month],1))</f>
        <v>0</v>
      </c>
      <c r="D18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8" s="6">
        <f>SUMIFS(OrdersTable[Profit],OrdersTable[Date],"&gt;="&amp;[[#This Row],Month],OrdersTable[Date],"&lt;"&amp;EDATE([[#This Row],Month],1))</f>
        <v>0</v>
      </c>
      <c r="F18" s="6">
        <f>SUMIFS(ExpensesTable[Amount],ExpensesTable[Date],"&gt;="&amp;[[#This Row],Month],ExpensesTable[Date],"&lt;"&amp;EDATE([[#This Row],Month],1))</f>
        <v>0</v>
      </c>
      <c r="G18" s="6">
        <f>[[#This Row],Profit]-[[#This Row],Expenses]</f>
        <v>0</v>
      </c>
    </row>
    <row r="19" spans="1:7" ht="20" customHeight="1">
      <c r="A19" s="12"/>
      <c r="B19" s="11">
        <f>COUNTIFS(OrdersTable[Date],"&gt;="&amp;[[#This Row],Month],OrdersTable[Date],"&lt;"&amp;EDATE([[#This Row],Month],1))</f>
        <v>0</v>
      </c>
      <c r="C19" s="6">
        <f>SUMIFS(OrdersTable[Selling Price],OrdersTable[Date],"&gt;="&amp;[[#This Row],Month],OrdersTable[Date],"&lt;"&amp;EDATE([[#This Row],Month],1))</f>
        <v>0</v>
      </c>
      <c r="D19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9" s="6">
        <f>SUMIFS(OrdersTable[Profit],OrdersTable[Date],"&gt;="&amp;[[#This Row],Month],OrdersTable[Date],"&lt;"&amp;EDATE([[#This Row],Month],1))</f>
        <v>0</v>
      </c>
      <c r="F19" s="6">
        <f>SUMIFS(ExpensesTable[Amount],ExpensesTable[Date],"&gt;="&amp;[[#This Row],Month],ExpensesTable[Date],"&lt;"&amp;EDATE([[#This Row],Month],1))</f>
        <v>0</v>
      </c>
      <c r="G19" s="6">
        <f>[[#This Row],Profit]-[[#This Row],Expenses]</f>
        <v>0</v>
      </c>
    </row>
    <row r="20" spans="1:7" ht="20" customHeight="1">
      <c r="A20" s="12"/>
      <c r="B20" s="11">
        <f>COUNTIFS(OrdersTable[Date],"&gt;="&amp;[[#This Row],Month],OrdersTable[Date],"&lt;"&amp;EDATE([[#This Row],Month],1))</f>
        <v>0</v>
      </c>
      <c r="C20" s="6">
        <f>SUMIFS(OrdersTable[Selling Price],OrdersTable[Date],"&gt;="&amp;[[#This Row],Month],OrdersTable[Date],"&lt;"&amp;EDATE([[#This Row],Month],1))</f>
        <v>0</v>
      </c>
      <c r="D20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20" s="6">
        <f>SUMIFS(OrdersTable[Profit],OrdersTable[Date],"&gt;="&amp;[[#This Row],Month],OrdersTable[Date],"&lt;"&amp;EDATE([[#This Row],Month],1))</f>
        <v>0</v>
      </c>
      <c r="F20" s="6">
        <f>SUMIFS(ExpensesTable[Amount],ExpensesTable[Date],"&gt;="&amp;[[#This Row],Month],ExpensesTable[Date],"&lt;"&amp;EDATE([[#This Row],Month],1))</f>
        <v>0</v>
      </c>
      <c r="G20" s="6">
        <f>[[#This Row],Profit]-[[#This Row],Expenses]</f>
        <v>0</v>
      </c>
    </row>
    <row r="21" spans="1:7" ht="20" customHeight="1">
      <c r="A21" s="12"/>
      <c r="B21" s="11">
        <f>COUNTIFS(OrdersTable[Date],"&gt;="&amp;[[#This Row],Month],OrdersTable[Date],"&lt;"&amp;EDATE([[#This Row],Month],1))</f>
        <v>0</v>
      </c>
      <c r="C21" s="6">
        <f>SUMIFS(OrdersTable[Selling Price],OrdersTable[Date],"&gt;="&amp;[[#This Row],Month],OrdersTable[Date],"&lt;"&amp;EDATE([[#This Row],Month],1))</f>
        <v>0</v>
      </c>
      <c r="D21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21" s="6">
        <f>SUMIFS(OrdersTable[Profit],OrdersTable[Date],"&gt;="&amp;[[#This Row],Month],OrdersTable[Date],"&lt;"&amp;EDATE([[#This Row],Month],1))</f>
        <v>0</v>
      </c>
      <c r="F21" s="6">
        <f>SUMIFS(ExpensesTable[Amount],ExpensesTable[Date],"&gt;="&amp;[[#This Row],Month],ExpensesTable[Date],"&lt;"&amp;EDATE([[#This Row],Month],1))</f>
        <v>0</v>
      </c>
      <c r="G21" s="6">
        <f>[[#This Row],Profit]-[[#This Row],Expenses]</f>
        <v>0</v>
      </c>
    </row>
    <row r="22" spans="1:7" ht="20" customHeight="1">
      <c r="A22" s="12"/>
      <c r="B22" s="11">
        <f>COUNTIFS(OrdersTable[Date],"&gt;="&amp;[[#This Row],Month],OrdersTable[Date],"&lt;"&amp;EDATE([[#This Row],Month],1))</f>
        <v>0</v>
      </c>
      <c r="C22" s="6">
        <f>SUMIFS(OrdersTable[Selling Price],OrdersTable[Date],"&gt;="&amp;[[#This Row],Month],OrdersTable[Date],"&lt;"&amp;EDATE([[#This Row],Month],1))</f>
        <v>0</v>
      </c>
      <c r="D22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22" s="6">
        <f>SUMIFS(OrdersTable[Profit],OrdersTable[Date],"&gt;="&amp;[[#This Row],Month],OrdersTable[Date],"&lt;"&amp;EDATE([[#This Row],Month],1))</f>
        <v>0</v>
      </c>
      <c r="F22" s="6">
        <f>SUMIFS(ExpensesTable[Amount],ExpensesTable[Date],"&gt;="&amp;[[#This Row],Month],ExpensesTable[Date],"&lt;"&amp;EDATE([[#This Row],Month],1))</f>
        <v>0</v>
      </c>
      <c r="G22" s="6">
        <f>[[#This Row],Profit]-[[#This Row],Expenses]</f>
        <v>0</v>
      </c>
    </row>
    <row r="23" spans="1:7" ht="20" customHeight="1">
      <c r="A23" s="12"/>
      <c r="B23" s="11">
        <f>COUNTIFS(OrdersTable[Date],"&gt;="&amp;[[#This Row],Month],OrdersTable[Date],"&lt;"&amp;EDATE([[#This Row],Month],1))</f>
        <v>0</v>
      </c>
      <c r="C23" s="6">
        <f>SUMIFS(OrdersTable[Selling Price],OrdersTable[Date],"&gt;="&amp;[[#This Row],Month],OrdersTable[Date],"&lt;"&amp;EDATE([[#This Row],Month],1))</f>
        <v>0</v>
      </c>
      <c r="D23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23" s="6">
        <f>SUMIFS(OrdersTable[Profit],OrdersTable[Date],"&gt;="&amp;[[#This Row],Month],OrdersTable[Date],"&lt;"&amp;EDATE([[#This Row],Month],1))</f>
        <v>0</v>
      </c>
      <c r="F23" s="6">
        <f>SUMIFS(ExpensesTable[Amount],ExpensesTable[Date],"&gt;="&amp;[[#This Row],Month],ExpensesTable[Date],"&lt;"&amp;EDATE([[#This Row],Month],1))</f>
        <v>0</v>
      </c>
      <c r="G23" s="6">
        <f>[[#This Row],Profit]-[[#This Row],Expenses]</f>
        <v>0</v>
      </c>
    </row>
    <row r="24" spans="1:7" ht="20" customHeight="1">
      <c r="A24" s="12"/>
      <c r="B24" s="11">
        <f>COUNTIFS(OrdersTable[Date],"&gt;="&amp;[[#This Row],Month],OrdersTable[Date],"&lt;"&amp;EDATE([[#This Row],Month],1))</f>
        <v>0</v>
      </c>
      <c r="C24" s="6">
        <f>SUMIFS(OrdersTable[Selling Price],OrdersTable[Date],"&gt;="&amp;[[#This Row],Month],OrdersTable[Date],"&lt;"&amp;EDATE([[#This Row],Month],1))</f>
        <v>0</v>
      </c>
      <c r="D24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24" s="6">
        <f>SUMIFS(OrdersTable[Profit],OrdersTable[Date],"&gt;="&amp;[[#This Row],Month],OrdersTable[Date],"&lt;"&amp;EDATE([[#This Row],Month],1))</f>
        <v>0</v>
      </c>
      <c r="F24" s="6">
        <f>SUMIFS(ExpensesTable[Amount],ExpensesTable[Date],"&gt;="&amp;[[#This Row],Month],ExpensesTable[Date],"&lt;"&amp;EDATE([[#This Row],Month],1))</f>
        <v>0</v>
      </c>
      <c r="G24" s="6">
        <f>[[#This Row],Profit]-[[#This Row],Expenses]</f>
        <v>0</v>
      </c>
    </row>
    <row r="25" spans="1:7" ht="20" customHeight="1">
      <c r="A25" s="12"/>
      <c r="B25" s="11">
        <f>COUNTIFS(OrdersTable[Date],"&gt;="&amp;[[#This Row],Month],OrdersTable[Date],"&lt;"&amp;EDATE([[#This Row],Month],1))</f>
        <v>0</v>
      </c>
      <c r="C25" s="6">
        <f>SUMIFS(OrdersTable[Selling Price],OrdersTable[Date],"&gt;="&amp;[[#This Row],Month],OrdersTable[Date],"&lt;"&amp;EDATE([[#This Row],Month],1))</f>
        <v>0</v>
      </c>
      <c r="D25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25" s="6">
        <f>SUMIFS(OrdersTable[Profit],OrdersTable[Date],"&gt;="&amp;[[#This Row],Month],OrdersTable[Date],"&lt;"&amp;EDATE([[#This Row],Month],1))</f>
        <v>0</v>
      </c>
      <c r="F25" s="6">
        <f>SUMIFS(ExpensesTable[Amount],ExpensesTable[Date],"&gt;="&amp;[[#This Row],Month],ExpensesTable[Date],"&lt;"&amp;EDATE([[#This Row],Month],1))</f>
        <v>0</v>
      </c>
      <c r="G25" s="6">
        <f>[[#This Row],Profit]-[[#This Row],Expenses]</f>
        <v>0</v>
      </c>
    </row>
    <row r="26" spans="1:7" ht="20" customHeight="1">
      <c r="A26" s="12"/>
      <c r="B26" s="11">
        <f>COUNTIFS(OrdersTable[Date],"&gt;="&amp;[[#This Row],Month],OrdersTable[Date],"&lt;"&amp;EDATE([[#This Row],Month],1))</f>
        <v>0</v>
      </c>
      <c r="C26" s="6">
        <f>SUMIFS(OrdersTable[Selling Price],OrdersTable[Date],"&gt;="&amp;[[#This Row],Month],OrdersTable[Date],"&lt;"&amp;EDATE([[#This Row],Month],1))</f>
        <v>0</v>
      </c>
      <c r="D26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26" s="6">
        <f>SUMIFS(OrdersTable[Profit],OrdersTable[Date],"&gt;="&amp;[[#This Row],Month],OrdersTable[Date],"&lt;"&amp;EDATE([[#This Row],Month],1))</f>
        <v>0</v>
      </c>
      <c r="F26" s="6">
        <f>SUMIFS(ExpensesTable[Amount],ExpensesTable[Date],"&gt;="&amp;[[#This Row],Month],ExpensesTable[Date],"&lt;"&amp;EDATE([[#This Row],Month],1))</f>
        <v>0</v>
      </c>
      <c r="G26" s="6">
        <f>[[#This Row],Profit]-[[#This Row],Expenses]</f>
        <v>0</v>
      </c>
    </row>
    <row r="27" spans="1:7" ht="20" customHeight="1">
      <c r="A27" s="12"/>
      <c r="B27" s="11">
        <f>COUNTIFS(OrdersTable[Date],"&gt;="&amp;[[#This Row],Month],OrdersTable[Date],"&lt;"&amp;EDATE([[#This Row],Month],1))</f>
        <v>0</v>
      </c>
      <c r="C27" s="6">
        <f>SUMIFS(OrdersTable[Selling Price],OrdersTable[Date],"&gt;="&amp;[[#This Row],Month],OrdersTable[Date],"&lt;"&amp;EDATE([[#This Row],Month],1))</f>
        <v>0</v>
      </c>
      <c r="D27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27" s="6">
        <f>SUMIFS(OrdersTable[Profit],OrdersTable[Date],"&gt;="&amp;[[#This Row],Month],OrdersTable[Date],"&lt;"&amp;EDATE([[#This Row],Month],1))</f>
        <v>0</v>
      </c>
      <c r="F27" s="6">
        <f>SUMIFS(ExpensesTable[Amount],ExpensesTable[Date],"&gt;="&amp;[[#This Row],Month],ExpensesTable[Date],"&lt;"&amp;EDATE([[#This Row],Month],1))</f>
        <v>0</v>
      </c>
      <c r="G27" s="6">
        <f>[[#This Row],Profit]-[[#This Row],Expenses]</f>
        <v>0</v>
      </c>
    </row>
    <row r="28" spans="1:7" ht="20" customHeight="1">
      <c r="A28" s="12"/>
      <c r="B28" s="11">
        <f>COUNTIFS(OrdersTable[Date],"&gt;="&amp;[[#This Row],Month],OrdersTable[Date],"&lt;"&amp;EDATE([[#This Row],Month],1))</f>
        <v>0</v>
      </c>
      <c r="C28" s="6">
        <f>SUMIFS(OrdersTable[Selling Price],OrdersTable[Date],"&gt;="&amp;[[#This Row],Month],OrdersTable[Date],"&lt;"&amp;EDATE([[#This Row],Month],1))</f>
        <v>0</v>
      </c>
      <c r="D28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28" s="6">
        <f>SUMIFS(OrdersTable[Profit],OrdersTable[Date],"&gt;="&amp;[[#This Row],Month],OrdersTable[Date],"&lt;"&amp;EDATE([[#This Row],Month],1))</f>
        <v>0</v>
      </c>
      <c r="F28" s="6">
        <f>SUMIFS(ExpensesTable[Amount],ExpensesTable[Date],"&gt;="&amp;[[#This Row],Month],ExpensesTable[Date],"&lt;"&amp;EDATE([[#This Row],Month],1))</f>
        <v>0</v>
      </c>
      <c r="G28" s="6">
        <f>[[#This Row],Profit]-[[#This Row],Expenses]</f>
        <v>0</v>
      </c>
    </row>
    <row r="29" spans="1:7" ht="20" customHeight="1">
      <c r="A29" s="12"/>
      <c r="B29" s="11">
        <f>COUNTIFS(OrdersTable[Date],"&gt;="&amp;[[#This Row],Month],OrdersTable[Date],"&lt;"&amp;EDATE([[#This Row],Month],1))</f>
        <v>0</v>
      </c>
      <c r="C29" s="6">
        <f>SUMIFS(OrdersTable[Selling Price],OrdersTable[Date],"&gt;="&amp;[[#This Row],Month],OrdersTable[Date],"&lt;"&amp;EDATE([[#This Row],Month],1))</f>
        <v>0</v>
      </c>
      <c r="D29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29" s="6">
        <f>SUMIFS(OrdersTable[Profit],OrdersTable[Date],"&gt;="&amp;[[#This Row],Month],OrdersTable[Date],"&lt;"&amp;EDATE([[#This Row],Month],1))</f>
        <v>0</v>
      </c>
      <c r="F29" s="6">
        <f>SUMIFS(ExpensesTable[Amount],ExpensesTable[Date],"&gt;="&amp;[[#This Row],Month],ExpensesTable[Date],"&lt;"&amp;EDATE([[#This Row],Month],1))</f>
        <v>0</v>
      </c>
      <c r="G29" s="6">
        <f>[[#This Row],Profit]-[[#This Row],Expenses]</f>
        <v>0</v>
      </c>
    </row>
    <row r="30" spans="1:7" ht="20" customHeight="1">
      <c r="A30" s="12"/>
      <c r="B30" s="11">
        <f>COUNTIFS(OrdersTable[Date],"&gt;="&amp;[[#This Row],Month],OrdersTable[Date],"&lt;"&amp;EDATE([[#This Row],Month],1))</f>
        <v>0</v>
      </c>
      <c r="C30" s="6">
        <f>SUMIFS(OrdersTable[Selling Price],OrdersTable[Date],"&gt;="&amp;[[#This Row],Month],OrdersTable[Date],"&lt;"&amp;EDATE([[#This Row],Month],1))</f>
        <v>0</v>
      </c>
      <c r="D30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30" s="6">
        <f>SUMIFS(OrdersTable[Profit],OrdersTable[Date],"&gt;="&amp;[[#This Row],Month],OrdersTable[Date],"&lt;"&amp;EDATE([[#This Row],Month],1))</f>
        <v>0</v>
      </c>
      <c r="F30" s="6">
        <f>SUMIFS(ExpensesTable[Amount],ExpensesTable[Date],"&gt;="&amp;[[#This Row],Month],ExpensesTable[Date],"&lt;"&amp;EDATE([[#This Row],Month],1))</f>
        <v>0</v>
      </c>
      <c r="G30" s="6">
        <f>[[#This Row],Profit]-[[#This Row],Expenses]</f>
        <v>0</v>
      </c>
    </row>
    <row r="31" spans="1:7" ht="20" customHeight="1">
      <c r="A31" s="12"/>
      <c r="B31" s="11">
        <f>COUNTIFS(OrdersTable[Date],"&gt;="&amp;[[#This Row],Month],OrdersTable[Date],"&lt;"&amp;EDATE([[#This Row],Month],1))</f>
        <v>0</v>
      </c>
      <c r="C31" s="6">
        <f>SUMIFS(OrdersTable[Selling Price],OrdersTable[Date],"&gt;="&amp;[[#This Row],Month],OrdersTable[Date],"&lt;"&amp;EDATE([[#This Row],Month],1))</f>
        <v>0</v>
      </c>
      <c r="D31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31" s="6">
        <f>SUMIFS(OrdersTable[Profit],OrdersTable[Date],"&gt;="&amp;[[#This Row],Month],OrdersTable[Date],"&lt;"&amp;EDATE([[#This Row],Month],1))</f>
        <v>0</v>
      </c>
      <c r="F31" s="6">
        <f>SUMIFS(ExpensesTable[Amount],ExpensesTable[Date],"&gt;="&amp;[[#This Row],Month],ExpensesTable[Date],"&lt;"&amp;EDATE([[#This Row],Month],1))</f>
        <v>0</v>
      </c>
      <c r="G31" s="6">
        <f>[[#This Row],Profit]-[[#This Row],Expenses]</f>
        <v>0</v>
      </c>
    </row>
    <row r="32" spans="1:7" ht="20" customHeight="1">
      <c r="A32" s="12"/>
      <c r="B32" s="11">
        <f>COUNTIFS(OrdersTable[Date],"&gt;="&amp;[[#This Row],Month],OrdersTable[Date],"&lt;"&amp;EDATE([[#This Row],Month],1))</f>
        <v>0</v>
      </c>
      <c r="C32" s="6">
        <f>SUMIFS(OrdersTable[Selling Price],OrdersTable[Date],"&gt;="&amp;[[#This Row],Month],OrdersTable[Date],"&lt;"&amp;EDATE([[#This Row],Month],1))</f>
        <v>0</v>
      </c>
      <c r="D32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32" s="6">
        <f>SUMIFS(OrdersTable[Profit],OrdersTable[Date],"&gt;="&amp;[[#This Row],Month],OrdersTable[Date],"&lt;"&amp;EDATE([[#This Row],Month],1))</f>
        <v>0</v>
      </c>
      <c r="F32" s="6">
        <f>SUMIFS(ExpensesTable[Amount],ExpensesTable[Date],"&gt;="&amp;[[#This Row],Month],ExpensesTable[Date],"&lt;"&amp;EDATE([[#This Row],Month],1))</f>
        <v>0</v>
      </c>
      <c r="G32" s="6">
        <f>[[#This Row],Profit]-[[#This Row],Expenses]</f>
        <v>0</v>
      </c>
    </row>
    <row r="33" spans="1:7" ht="20" customHeight="1">
      <c r="A33" s="12"/>
      <c r="B33" s="11">
        <f>COUNTIFS(OrdersTable[Date],"&gt;="&amp;[[#This Row],Month],OrdersTable[Date],"&lt;"&amp;EDATE([[#This Row],Month],1))</f>
        <v>0</v>
      </c>
      <c r="C33" s="6">
        <f>SUMIFS(OrdersTable[Selling Price],OrdersTable[Date],"&gt;="&amp;[[#This Row],Month],OrdersTable[Date],"&lt;"&amp;EDATE([[#This Row],Month],1))</f>
        <v>0</v>
      </c>
      <c r="D33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33" s="6">
        <f>SUMIFS(OrdersTable[Profit],OrdersTable[Date],"&gt;="&amp;[[#This Row],Month],OrdersTable[Date],"&lt;"&amp;EDATE([[#This Row],Month],1))</f>
        <v>0</v>
      </c>
      <c r="F33" s="6">
        <f>SUMIFS(ExpensesTable[Amount],ExpensesTable[Date],"&gt;="&amp;[[#This Row],Month],ExpensesTable[Date],"&lt;"&amp;EDATE([[#This Row],Month],1))</f>
        <v>0</v>
      </c>
      <c r="G33" s="6">
        <f>[[#This Row],Profit]-[[#This Row],Expenses]</f>
        <v>0</v>
      </c>
    </row>
    <row r="34" spans="1:7" ht="20" customHeight="1">
      <c r="A34" s="12"/>
      <c r="B34" s="11">
        <f>COUNTIFS(OrdersTable[Date],"&gt;="&amp;[[#This Row],Month],OrdersTable[Date],"&lt;"&amp;EDATE([[#This Row],Month],1))</f>
        <v>0</v>
      </c>
      <c r="C34" s="6">
        <f>SUMIFS(OrdersTable[Selling Price],OrdersTable[Date],"&gt;="&amp;[[#This Row],Month],OrdersTable[Date],"&lt;"&amp;EDATE([[#This Row],Month],1))</f>
        <v>0</v>
      </c>
      <c r="D34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34" s="6">
        <f>SUMIFS(OrdersTable[Profit],OrdersTable[Date],"&gt;="&amp;[[#This Row],Month],OrdersTable[Date],"&lt;"&amp;EDATE([[#This Row],Month],1))</f>
        <v>0</v>
      </c>
      <c r="F34" s="6">
        <f>SUMIFS(ExpensesTable[Amount],ExpensesTable[Date],"&gt;="&amp;[[#This Row],Month],ExpensesTable[Date],"&lt;"&amp;EDATE([[#This Row],Month],1))</f>
        <v>0</v>
      </c>
      <c r="G34" s="6">
        <f>[[#This Row],Profit]-[[#This Row],Expenses]</f>
        <v>0</v>
      </c>
    </row>
    <row r="35" spans="1:7" ht="20" customHeight="1">
      <c r="A35" s="12"/>
      <c r="B35" s="11">
        <f>COUNTIFS(OrdersTable[Date],"&gt;="&amp;[[#This Row],Month],OrdersTable[Date],"&lt;"&amp;EDATE([[#This Row],Month],1))</f>
        <v>0</v>
      </c>
      <c r="C35" s="6">
        <f>SUMIFS(OrdersTable[Selling Price],OrdersTable[Date],"&gt;="&amp;[[#This Row],Month],OrdersTable[Date],"&lt;"&amp;EDATE([[#This Row],Month],1))</f>
        <v>0</v>
      </c>
      <c r="D35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35" s="6">
        <f>SUMIFS(OrdersTable[Profit],OrdersTable[Date],"&gt;="&amp;[[#This Row],Month],OrdersTable[Date],"&lt;"&amp;EDATE([[#This Row],Month],1))</f>
        <v>0</v>
      </c>
      <c r="F35" s="6">
        <f>SUMIFS(ExpensesTable[Amount],ExpensesTable[Date],"&gt;="&amp;[[#This Row],Month],ExpensesTable[Date],"&lt;"&amp;EDATE([[#This Row],Month],1))</f>
        <v>0</v>
      </c>
      <c r="G35" s="6">
        <f>[[#This Row],Profit]-[[#This Row],Expenses]</f>
        <v>0</v>
      </c>
    </row>
    <row r="36" spans="1:7" ht="20" customHeight="1">
      <c r="A36" s="12"/>
      <c r="B36" s="11">
        <f>COUNTIFS(OrdersTable[Date],"&gt;="&amp;[[#This Row],Month],OrdersTable[Date],"&lt;"&amp;EDATE([[#This Row],Month],1))</f>
        <v>0</v>
      </c>
      <c r="C36" s="6">
        <f>SUMIFS(OrdersTable[Selling Price],OrdersTable[Date],"&gt;="&amp;[[#This Row],Month],OrdersTable[Date],"&lt;"&amp;EDATE([[#This Row],Month],1))</f>
        <v>0</v>
      </c>
      <c r="D36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36" s="6">
        <f>SUMIFS(OrdersTable[Profit],OrdersTable[Date],"&gt;="&amp;[[#This Row],Month],OrdersTable[Date],"&lt;"&amp;EDATE([[#This Row],Month],1))</f>
        <v>0</v>
      </c>
      <c r="F36" s="6">
        <f>SUMIFS(ExpensesTable[Amount],ExpensesTable[Date],"&gt;="&amp;[[#This Row],Month],ExpensesTable[Date],"&lt;"&amp;EDATE([[#This Row],Month],1))</f>
        <v>0</v>
      </c>
      <c r="G36" s="6">
        <f>[[#This Row],Profit]-[[#This Row],Expenses]</f>
        <v>0</v>
      </c>
    </row>
    <row r="37" spans="1:7" ht="20" customHeight="1">
      <c r="A37" s="12"/>
      <c r="B37" s="11">
        <f>COUNTIFS(OrdersTable[Date],"&gt;="&amp;[[#This Row],Month],OrdersTable[Date],"&lt;"&amp;EDATE([[#This Row],Month],1))</f>
        <v>0</v>
      </c>
      <c r="C37" s="6">
        <f>SUMIFS(OrdersTable[Selling Price],OrdersTable[Date],"&gt;="&amp;[[#This Row],Month],OrdersTable[Date],"&lt;"&amp;EDATE([[#This Row],Month],1))</f>
        <v>0</v>
      </c>
      <c r="D37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37" s="6">
        <f>SUMIFS(OrdersTable[Profit],OrdersTable[Date],"&gt;="&amp;[[#This Row],Month],OrdersTable[Date],"&lt;"&amp;EDATE([[#This Row],Month],1))</f>
        <v>0</v>
      </c>
      <c r="F37" s="6">
        <f>SUMIFS(ExpensesTable[Amount],ExpensesTable[Date],"&gt;="&amp;[[#This Row],Month],ExpensesTable[Date],"&lt;"&amp;EDATE([[#This Row],Month],1))</f>
        <v>0</v>
      </c>
      <c r="G37" s="6">
        <f>[[#This Row],Profit]-[[#This Row],Expenses]</f>
        <v>0</v>
      </c>
    </row>
    <row r="38" spans="1:7" ht="20" customHeight="1">
      <c r="A38" s="12"/>
      <c r="B38" s="11">
        <f>COUNTIFS(OrdersTable[Date],"&gt;="&amp;[[#This Row],Month],OrdersTable[Date],"&lt;"&amp;EDATE([[#This Row],Month],1))</f>
        <v>0</v>
      </c>
      <c r="C38" s="6">
        <f>SUMIFS(OrdersTable[Selling Price],OrdersTable[Date],"&gt;="&amp;[[#This Row],Month],OrdersTable[Date],"&lt;"&amp;EDATE([[#This Row],Month],1))</f>
        <v>0</v>
      </c>
      <c r="D38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38" s="6">
        <f>SUMIFS(OrdersTable[Profit],OrdersTable[Date],"&gt;="&amp;[[#This Row],Month],OrdersTable[Date],"&lt;"&amp;EDATE([[#This Row],Month],1))</f>
        <v>0</v>
      </c>
      <c r="F38" s="6">
        <f>SUMIFS(ExpensesTable[Amount],ExpensesTable[Date],"&gt;="&amp;[[#This Row],Month],ExpensesTable[Date],"&lt;"&amp;EDATE([[#This Row],Month],1))</f>
        <v>0</v>
      </c>
      <c r="G38" s="6">
        <f>[[#This Row],Profit]-[[#This Row],Expenses]</f>
        <v>0</v>
      </c>
    </row>
    <row r="39" spans="1:7" ht="20" customHeight="1">
      <c r="A39" s="12"/>
      <c r="B39" s="11">
        <f>COUNTIFS(OrdersTable[Date],"&gt;="&amp;[[#This Row],Month],OrdersTable[Date],"&lt;"&amp;EDATE([[#This Row],Month],1))</f>
        <v>0</v>
      </c>
      <c r="C39" s="6">
        <f>SUMIFS(OrdersTable[Selling Price],OrdersTable[Date],"&gt;="&amp;[[#This Row],Month],OrdersTable[Date],"&lt;"&amp;EDATE([[#This Row],Month],1))</f>
        <v>0</v>
      </c>
      <c r="D39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39" s="6">
        <f>SUMIFS(OrdersTable[Profit],OrdersTable[Date],"&gt;="&amp;[[#This Row],Month],OrdersTable[Date],"&lt;"&amp;EDATE([[#This Row],Month],1))</f>
        <v>0</v>
      </c>
      <c r="F39" s="6">
        <f>SUMIFS(ExpensesTable[Amount],ExpensesTable[Date],"&gt;="&amp;[[#This Row],Month],ExpensesTable[Date],"&lt;"&amp;EDATE([[#This Row],Month],1))</f>
        <v>0</v>
      </c>
      <c r="G39" s="6">
        <f>[[#This Row],Profit]-[[#This Row],Expenses]</f>
        <v>0</v>
      </c>
    </row>
    <row r="40" spans="1:7" ht="20" customHeight="1">
      <c r="A40" s="12"/>
      <c r="B40" s="11">
        <f>COUNTIFS(OrdersTable[Date],"&gt;="&amp;[[#This Row],Month],OrdersTable[Date],"&lt;"&amp;EDATE([[#This Row],Month],1))</f>
        <v>0</v>
      </c>
      <c r="C40" s="6">
        <f>SUMIFS(OrdersTable[Selling Price],OrdersTable[Date],"&gt;="&amp;[[#This Row],Month],OrdersTable[Date],"&lt;"&amp;EDATE([[#This Row],Month],1))</f>
        <v>0</v>
      </c>
      <c r="D40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40" s="6">
        <f>SUMIFS(OrdersTable[Profit],OrdersTable[Date],"&gt;="&amp;[[#This Row],Month],OrdersTable[Date],"&lt;"&amp;EDATE([[#This Row],Month],1))</f>
        <v>0</v>
      </c>
      <c r="F40" s="6">
        <f>SUMIFS(ExpensesTable[Amount],ExpensesTable[Date],"&gt;="&amp;[[#This Row],Month],ExpensesTable[Date],"&lt;"&amp;EDATE([[#This Row],Month],1))</f>
        <v>0</v>
      </c>
      <c r="G40" s="6">
        <f>[[#This Row],Profit]-[[#This Row],Expenses]</f>
        <v>0</v>
      </c>
    </row>
    <row r="41" spans="1:7" ht="20" customHeight="1">
      <c r="A41" s="12"/>
      <c r="B41" s="11">
        <f>COUNTIFS(OrdersTable[Date],"&gt;="&amp;[[#This Row],Month],OrdersTable[Date],"&lt;"&amp;EDATE([[#This Row],Month],1))</f>
        <v>0</v>
      </c>
      <c r="C41" s="6">
        <f>SUMIFS(OrdersTable[Selling Price],OrdersTable[Date],"&gt;="&amp;[[#This Row],Month],OrdersTable[Date],"&lt;"&amp;EDATE([[#This Row],Month],1))</f>
        <v>0</v>
      </c>
      <c r="D41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41" s="6">
        <f>SUMIFS(OrdersTable[Profit],OrdersTable[Date],"&gt;="&amp;[[#This Row],Month],OrdersTable[Date],"&lt;"&amp;EDATE([[#This Row],Month],1))</f>
        <v>0</v>
      </c>
      <c r="F41" s="6">
        <f>SUMIFS(ExpensesTable[Amount],ExpensesTable[Date],"&gt;="&amp;[[#This Row],Month],ExpensesTable[Date],"&lt;"&amp;EDATE([[#This Row],Month],1))</f>
        <v>0</v>
      </c>
      <c r="G41" s="6">
        <f>[[#This Row],Profit]-[[#This Row],Expenses]</f>
        <v>0</v>
      </c>
    </row>
    <row r="42" spans="1:7" ht="20" customHeight="1">
      <c r="A42" s="12"/>
      <c r="B42" s="11">
        <f>COUNTIFS(OrdersTable[Date],"&gt;="&amp;[[#This Row],Month],OrdersTable[Date],"&lt;"&amp;EDATE([[#This Row],Month],1))</f>
        <v>0</v>
      </c>
      <c r="C42" s="6">
        <f>SUMIFS(OrdersTable[Selling Price],OrdersTable[Date],"&gt;="&amp;[[#This Row],Month],OrdersTable[Date],"&lt;"&amp;EDATE([[#This Row],Month],1))</f>
        <v>0</v>
      </c>
      <c r="D42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42" s="6">
        <f>SUMIFS(OrdersTable[Profit],OrdersTable[Date],"&gt;="&amp;[[#This Row],Month],OrdersTable[Date],"&lt;"&amp;EDATE([[#This Row],Month],1))</f>
        <v>0</v>
      </c>
      <c r="F42" s="6">
        <f>SUMIFS(ExpensesTable[Amount],ExpensesTable[Date],"&gt;="&amp;[[#This Row],Month],ExpensesTable[Date],"&lt;"&amp;EDATE([[#This Row],Month],1))</f>
        <v>0</v>
      </c>
      <c r="G42" s="6">
        <f>[[#This Row],Profit]-[[#This Row],Expenses]</f>
        <v>0</v>
      </c>
    </row>
    <row r="43" spans="1:7" ht="20" customHeight="1">
      <c r="A43" s="12"/>
      <c r="B43" s="11">
        <f>COUNTIFS(OrdersTable[Date],"&gt;="&amp;[[#This Row],Month],OrdersTable[Date],"&lt;"&amp;EDATE([[#This Row],Month],1))</f>
        <v>0</v>
      </c>
      <c r="C43" s="6">
        <f>SUMIFS(OrdersTable[Selling Price],OrdersTable[Date],"&gt;="&amp;[[#This Row],Month],OrdersTable[Date],"&lt;"&amp;EDATE([[#This Row],Month],1))</f>
        <v>0</v>
      </c>
      <c r="D43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43" s="6">
        <f>SUMIFS(OrdersTable[Profit],OrdersTable[Date],"&gt;="&amp;[[#This Row],Month],OrdersTable[Date],"&lt;"&amp;EDATE([[#This Row],Month],1))</f>
        <v>0</v>
      </c>
      <c r="F43" s="6">
        <f>SUMIFS(ExpensesTable[Amount],ExpensesTable[Date],"&gt;="&amp;[[#This Row],Month],ExpensesTable[Date],"&lt;"&amp;EDATE([[#This Row],Month],1))</f>
        <v>0</v>
      </c>
      <c r="G43" s="6">
        <f>[[#This Row],Profit]-[[#This Row],Expenses]</f>
        <v>0</v>
      </c>
    </row>
    <row r="44" spans="1:7" ht="20" customHeight="1">
      <c r="A44" s="12"/>
      <c r="B44" s="11">
        <f>COUNTIFS(OrdersTable[Date],"&gt;="&amp;[[#This Row],Month],OrdersTable[Date],"&lt;"&amp;EDATE([[#This Row],Month],1))</f>
        <v>0</v>
      </c>
      <c r="C44" s="6">
        <f>SUMIFS(OrdersTable[Selling Price],OrdersTable[Date],"&gt;="&amp;[[#This Row],Month],OrdersTable[Date],"&lt;"&amp;EDATE([[#This Row],Month],1))</f>
        <v>0</v>
      </c>
      <c r="D44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44" s="6">
        <f>SUMIFS(OrdersTable[Profit],OrdersTable[Date],"&gt;="&amp;[[#This Row],Month],OrdersTable[Date],"&lt;"&amp;EDATE([[#This Row],Month],1))</f>
        <v>0</v>
      </c>
      <c r="F44" s="6">
        <f>SUMIFS(ExpensesTable[Amount],ExpensesTable[Date],"&gt;="&amp;[[#This Row],Month],ExpensesTable[Date],"&lt;"&amp;EDATE([[#This Row],Month],1))</f>
        <v>0</v>
      </c>
      <c r="G44" s="6">
        <f>[[#This Row],Profit]-[[#This Row],Expenses]</f>
        <v>0</v>
      </c>
    </row>
    <row r="45" spans="1:7" ht="20" customHeight="1">
      <c r="A45" s="12"/>
      <c r="B45" s="11">
        <f>COUNTIFS(OrdersTable[Date],"&gt;="&amp;[[#This Row],Month],OrdersTable[Date],"&lt;"&amp;EDATE([[#This Row],Month],1))</f>
        <v>0</v>
      </c>
      <c r="C45" s="6">
        <f>SUMIFS(OrdersTable[Selling Price],OrdersTable[Date],"&gt;="&amp;[[#This Row],Month],OrdersTable[Date],"&lt;"&amp;EDATE([[#This Row],Month],1))</f>
        <v>0</v>
      </c>
      <c r="D45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45" s="6">
        <f>SUMIFS(OrdersTable[Profit],OrdersTable[Date],"&gt;="&amp;[[#This Row],Month],OrdersTable[Date],"&lt;"&amp;EDATE([[#This Row],Month],1))</f>
        <v>0</v>
      </c>
      <c r="F45" s="6">
        <f>SUMIFS(ExpensesTable[Amount],ExpensesTable[Date],"&gt;="&amp;[[#This Row],Month],ExpensesTable[Date],"&lt;"&amp;EDATE([[#This Row],Month],1))</f>
        <v>0</v>
      </c>
      <c r="G45" s="6">
        <f>[[#This Row],Profit]-[[#This Row],Expenses]</f>
        <v>0</v>
      </c>
    </row>
    <row r="46" spans="1:7" ht="20" customHeight="1">
      <c r="A46" s="12"/>
      <c r="B46" s="11">
        <f>COUNTIFS(OrdersTable[Date],"&gt;="&amp;[[#This Row],Month],OrdersTable[Date],"&lt;"&amp;EDATE([[#This Row],Month],1))</f>
        <v>0</v>
      </c>
      <c r="C46" s="6">
        <f>SUMIFS(OrdersTable[Selling Price],OrdersTable[Date],"&gt;="&amp;[[#This Row],Month],OrdersTable[Date],"&lt;"&amp;EDATE([[#This Row],Month],1))</f>
        <v>0</v>
      </c>
      <c r="D46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46" s="6">
        <f>SUMIFS(OrdersTable[Profit],OrdersTable[Date],"&gt;="&amp;[[#This Row],Month],OrdersTable[Date],"&lt;"&amp;EDATE([[#This Row],Month],1))</f>
        <v>0</v>
      </c>
      <c r="F46" s="6">
        <f>SUMIFS(ExpensesTable[Amount],ExpensesTable[Date],"&gt;="&amp;[[#This Row],Month],ExpensesTable[Date],"&lt;"&amp;EDATE([[#This Row],Month],1))</f>
        <v>0</v>
      </c>
      <c r="G46" s="6">
        <f>[[#This Row],Profit]-[[#This Row],Expenses]</f>
        <v>0</v>
      </c>
    </row>
    <row r="47" spans="1:7" ht="20" customHeight="1">
      <c r="A47" s="12"/>
      <c r="B47" s="11">
        <f>COUNTIFS(OrdersTable[Date],"&gt;="&amp;[[#This Row],Month],OrdersTable[Date],"&lt;"&amp;EDATE([[#This Row],Month],1))</f>
        <v>0</v>
      </c>
      <c r="C47" s="6">
        <f>SUMIFS(OrdersTable[Selling Price],OrdersTable[Date],"&gt;="&amp;[[#This Row],Month],OrdersTable[Date],"&lt;"&amp;EDATE([[#This Row],Month],1))</f>
        <v>0</v>
      </c>
      <c r="D47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47" s="6">
        <f>SUMIFS(OrdersTable[Profit],OrdersTable[Date],"&gt;="&amp;[[#This Row],Month],OrdersTable[Date],"&lt;"&amp;EDATE([[#This Row],Month],1))</f>
        <v>0</v>
      </c>
      <c r="F47" s="6">
        <f>SUMIFS(ExpensesTable[Amount],ExpensesTable[Date],"&gt;="&amp;[[#This Row],Month],ExpensesTable[Date],"&lt;"&amp;EDATE([[#This Row],Month],1))</f>
        <v>0</v>
      </c>
      <c r="G47" s="6">
        <f>[[#This Row],Profit]-[[#This Row],Expenses]</f>
        <v>0</v>
      </c>
    </row>
    <row r="48" spans="1:7" ht="20" customHeight="1">
      <c r="A48" s="12"/>
      <c r="B48" s="11">
        <f>COUNTIFS(OrdersTable[Date],"&gt;="&amp;[[#This Row],Month],OrdersTable[Date],"&lt;"&amp;EDATE([[#This Row],Month],1))</f>
        <v>0</v>
      </c>
      <c r="C48" s="6">
        <f>SUMIFS(OrdersTable[Selling Price],OrdersTable[Date],"&gt;="&amp;[[#This Row],Month],OrdersTable[Date],"&lt;"&amp;EDATE([[#This Row],Month],1))</f>
        <v>0</v>
      </c>
      <c r="D48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48" s="6">
        <f>SUMIFS(OrdersTable[Profit],OrdersTable[Date],"&gt;="&amp;[[#This Row],Month],OrdersTable[Date],"&lt;"&amp;EDATE([[#This Row],Month],1))</f>
        <v>0</v>
      </c>
      <c r="F48" s="6">
        <f>SUMIFS(ExpensesTable[Amount],ExpensesTable[Date],"&gt;="&amp;[[#This Row],Month],ExpensesTable[Date],"&lt;"&amp;EDATE([[#This Row],Month],1))</f>
        <v>0</v>
      </c>
      <c r="G48" s="6">
        <f>[[#This Row],Profit]-[[#This Row],Expenses]</f>
        <v>0</v>
      </c>
    </row>
    <row r="49" spans="1:7" ht="20" customHeight="1">
      <c r="A49" s="12"/>
      <c r="B49" s="11">
        <f>COUNTIFS(OrdersTable[Date],"&gt;="&amp;[[#This Row],Month],OrdersTable[Date],"&lt;"&amp;EDATE([[#This Row],Month],1))</f>
        <v>0</v>
      </c>
      <c r="C49" s="6">
        <f>SUMIFS(OrdersTable[Selling Price],OrdersTable[Date],"&gt;="&amp;[[#This Row],Month],OrdersTable[Date],"&lt;"&amp;EDATE([[#This Row],Month],1))</f>
        <v>0</v>
      </c>
      <c r="D49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49" s="6">
        <f>SUMIFS(OrdersTable[Profit],OrdersTable[Date],"&gt;="&amp;[[#This Row],Month],OrdersTable[Date],"&lt;"&amp;EDATE([[#This Row],Month],1))</f>
        <v>0</v>
      </c>
      <c r="F49" s="6">
        <f>SUMIFS(ExpensesTable[Amount],ExpensesTable[Date],"&gt;="&amp;[[#This Row],Month],ExpensesTable[Date],"&lt;"&amp;EDATE([[#This Row],Month],1))</f>
        <v>0</v>
      </c>
      <c r="G49" s="6">
        <f>[[#This Row],Profit]-[[#This Row],Expenses]</f>
        <v>0</v>
      </c>
    </row>
    <row r="50" spans="1:7" ht="20" customHeight="1">
      <c r="A50" s="12"/>
      <c r="B50" s="11">
        <f>COUNTIFS(OrdersTable[Date],"&gt;="&amp;[[#This Row],Month],OrdersTable[Date],"&lt;"&amp;EDATE([[#This Row],Month],1))</f>
        <v>0</v>
      </c>
      <c r="C50" s="6">
        <f>SUMIFS(OrdersTable[Selling Price],OrdersTable[Date],"&gt;="&amp;[[#This Row],Month],OrdersTable[Date],"&lt;"&amp;EDATE([[#This Row],Month],1))</f>
        <v>0</v>
      </c>
      <c r="D50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0" s="6">
        <f>SUMIFS(OrdersTable[Profit],OrdersTable[Date],"&gt;="&amp;[[#This Row],Month],OrdersTable[Date],"&lt;"&amp;EDATE([[#This Row],Month],1))</f>
        <v>0</v>
      </c>
      <c r="F50" s="6">
        <f>SUMIFS(ExpensesTable[Amount],ExpensesTable[Date],"&gt;="&amp;[[#This Row],Month],ExpensesTable[Date],"&lt;"&amp;EDATE([[#This Row],Month],1))</f>
        <v>0</v>
      </c>
      <c r="G50" s="6">
        <f>[[#This Row],Profit]-[[#This Row],Expenses]</f>
        <v>0</v>
      </c>
    </row>
    <row r="51" spans="1:7" ht="20" customHeight="1">
      <c r="A51" s="12"/>
      <c r="B51" s="11">
        <f>COUNTIFS(OrdersTable[Date],"&gt;="&amp;[[#This Row],Month],OrdersTable[Date],"&lt;"&amp;EDATE([[#This Row],Month],1))</f>
        <v>0</v>
      </c>
      <c r="C51" s="6">
        <f>SUMIFS(OrdersTable[Selling Price],OrdersTable[Date],"&gt;="&amp;[[#This Row],Month],OrdersTable[Date],"&lt;"&amp;EDATE([[#This Row],Month],1))</f>
        <v>0</v>
      </c>
      <c r="D51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1" s="6">
        <f>SUMIFS(OrdersTable[Profit],OrdersTable[Date],"&gt;="&amp;[[#This Row],Month],OrdersTable[Date],"&lt;"&amp;EDATE([[#This Row],Month],1))</f>
        <v>0</v>
      </c>
      <c r="F51" s="6">
        <f>SUMIFS(ExpensesTable[Amount],ExpensesTable[Date],"&gt;="&amp;[[#This Row],Month],ExpensesTable[Date],"&lt;"&amp;EDATE([[#This Row],Month],1))</f>
        <v>0</v>
      </c>
      <c r="G51" s="6">
        <f>[[#This Row],Profit]-[[#This Row],Expenses]</f>
        <v>0</v>
      </c>
    </row>
    <row r="52" spans="1:7" ht="20" customHeight="1">
      <c r="A52" s="12"/>
      <c r="B52" s="11">
        <f>COUNTIFS(OrdersTable[Date],"&gt;="&amp;[[#This Row],Month],OrdersTable[Date],"&lt;"&amp;EDATE([[#This Row],Month],1))</f>
        <v>0</v>
      </c>
      <c r="C52" s="6">
        <f>SUMIFS(OrdersTable[Selling Price],OrdersTable[Date],"&gt;="&amp;[[#This Row],Month],OrdersTable[Date],"&lt;"&amp;EDATE([[#This Row],Month],1))</f>
        <v>0</v>
      </c>
      <c r="D52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2" s="6">
        <f>SUMIFS(OrdersTable[Profit],OrdersTable[Date],"&gt;="&amp;[[#This Row],Month],OrdersTable[Date],"&lt;"&amp;EDATE([[#This Row],Month],1))</f>
        <v>0</v>
      </c>
      <c r="F52" s="6">
        <f>SUMIFS(ExpensesTable[Amount],ExpensesTable[Date],"&gt;="&amp;[[#This Row],Month],ExpensesTable[Date],"&lt;"&amp;EDATE([[#This Row],Month],1))</f>
        <v>0</v>
      </c>
      <c r="G52" s="6">
        <f>[[#This Row],Profit]-[[#This Row],Expenses]</f>
        <v>0</v>
      </c>
    </row>
    <row r="53" spans="1:7" ht="20" customHeight="1">
      <c r="A53" s="12"/>
      <c r="B53" s="11">
        <f>COUNTIFS(OrdersTable[Date],"&gt;="&amp;[[#This Row],Month],OrdersTable[Date],"&lt;"&amp;EDATE([[#This Row],Month],1))</f>
        <v>0</v>
      </c>
      <c r="C53" s="6">
        <f>SUMIFS(OrdersTable[Selling Price],OrdersTable[Date],"&gt;="&amp;[[#This Row],Month],OrdersTable[Date],"&lt;"&amp;EDATE([[#This Row],Month],1))</f>
        <v>0</v>
      </c>
      <c r="D53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3" s="6">
        <f>SUMIFS(OrdersTable[Profit],OrdersTable[Date],"&gt;="&amp;[[#This Row],Month],OrdersTable[Date],"&lt;"&amp;EDATE([[#This Row],Month],1))</f>
        <v>0</v>
      </c>
      <c r="F53" s="6">
        <f>SUMIFS(ExpensesTable[Amount],ExpensesTable[Date],"&gt;="&amp;[[#This Row],Month],ExpensesTable[Date],"&lt;"&amp;EDATE([[#This Row],Month],1))</f>
        <v>0</v>
      </c>
      <c r="G53" s="6">
        <f>[[#This Row],Profit]-[[#This Row],Expenses]</f>
        <v>0</v>
      </c>
    </row>
    <row r="54" spans="1:7" ht="20" customHeight="1">
      <c r="A54" s="12"/>
      <c r="B54" s="11">
        <f>COUNTIFS(OrdersTable[Date],"&gt;="&amp;[[#This Row],Month],OrdersTable[Date],"&lt;"&amp;EDATE([[#This Row],Month],1))</f>
        <v>0</v>
      </c>
      <c r="C54" s="6">
        <f>SUMIFS(OrdersTable[Selling Price],OrdersTable[Date],"&gt;="&amp;[[#This Row],Month],OrdersTable[Date],"&lt;"&amp;EDATE([[#This Row],Month],1))</f>
        <v>0</v>
      </c>
      <c r="D54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4" s="6">
        <f>SUMIFS(OrdersTable[Profit],OrdersTable[Date],"&gt;="&amp;[[#This Row],Month],OrdersTable[Date],"&lt;"&amp;EDATE([[#This Row],Month],1))</f>
        <v>0</v>
      </c>
      <c r="F54" s="6">
        <f>SUMIFS(ExpensesTable[Amount],ExpensesTable[Date],"&gt;="&amp;[[#This Row],Month],ExpensesTable[Date],"&lt;"&amp;EDATE([[#This Row],Month],1))</f>
        <v>0</v>
      </c>
      <c r="G54" s="6">
        <f>[[#This Row],Profit]-[[#This Row],Expenses]</f>
        <v>0</v>
      </c>
    </row>
    <row r="55" spans="1:7" ht="20" customHeight="1">
      <c r="A55" s="12"/>
      <c r="B55" s="11">
        <f>COUNTIFS(OrdersTable[Date],"&gt;="&amp;[[#This Row],Month],OrdersTable[Date],"&lt;"&amp;EDATE([[#This Row],Month],1))</f>
        <v>0</v>
      </c>
      <c r="C55" s="6">
        <f>SUMIFS(OrdersTable[Selling Price],OrdersTable[Date],"&gt;="&amp;[[#This Row],Month],OrdersTable[Date],"&lt;"&amp;EDATE([[#This Row],Month],1))</f>
        <v>0</v>
      </c>
      <c r="D55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5" s="6">
        <f>SUMIFS(OrdersTable[Profit],OrdersTable[Date],"&gt;="&amp;[[#This Row],Month],OrdersTable[Date],"&lt;"&amp;EDATE([[#This Row],Month],1))</f>
        <v>0</v>
      </c>
      <c r="F55" s="6">
        <f>SUMIFS(ExpensesTable[Amount],ExpensesTable[Date],"&gt;="&amp;[[#This Row],Month],ExpensesTable[Date],"&lt;"&amp;EDATE([[#This Row],Month],1))</f>
        <v>0</v>
      </c>
      <c r="G55" s="6">
        <f>[[#This Row],Profit]-[[#This Row],Expenses]</f>
        <v>0</v>
      </c>
    </row>
    <row r="56" spans="1:7" ht="20" customHeight="1">
      <c r="A56" s="12"/>
      <c r="B56" s="11">
        <f>COUNTIFS(OrdersTable[Date],"&gt;="&amp;[[#This Row],Month],OrdersTable[Date],"&lt;"&amp;EDATE([[#This Row],Month],1))</f>
        <v>0</v>
      </c>
      <c r="C56" s="6">
        <f>SUMIFS(OrdersTable[Selling Price],OrdersTable[Date],"&gt;="&amp;[[#This Row],Month],OrdersTable[Date],"&lt;"&amp;EDATE([[#This Row],Month],1))</f>
        <v>0</v>
      </c>
      <c r="D56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6" s="6">
        <f>SUMIFS(OrdersTable[Profit],OrdersTable[Date],"&gt;="&amp;[[#This Row],Month],OrdersTable[Date],"&lt;"&amp;EDATE([[#This Row],Month],1))</f>
        <v>0</v>
      </c>
      <c r="F56" s="6">
        <f>SUMIFS(ExpensesTable[Amount],ExpensesTable[Date],"&gt;="&amp;[[#This Row],Month],ExpensesTable[Date],"&lt;"&amp;EDATE([[#This Row],Month],1))</f>
        <v>0</v>
      </c>
      <c r="G56" s="6">
        <f>[[#This Row],Profit]-[[#This Row],Expenses]</f>
        <v>0</v>
      </c>
    </row>
    <row r="57" spans="1:7" ht="20" customHeight="1">
      <c r="A57" s="12"/>
      <c r="B57" s="11">
        <f>COUNTIFS(OrdersTable[Date],"&gt;="&amp;[[#This Row],Month],OrdersTable[Date],"&lt;"&amp;EDATE([[#This Row],Month],1))</f>
        <v>0</v>
      </c>
      <c r="C57" s="6">
        <f>SUMIFS(OrdersTable[Selling Price],OrdersTable[Date],"&gt;="&amp;[[#This Row],Month],OrdersTable[Date],"&lt;"&amp;EDATE([[#This Row],Month],1))</f>
        <v>0</v>
      </c>
      <c r="D57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7" s="6">
        <f>SUMIFS(OrdersTable[Profit],OrdersTable[Date],"&gt;="&amp;[[#This Row],Month],OrdersTable[Date],"&lt;"&amp;EDATE([[#This Row],Month],1))</f>
        <v>0</v>
      </c>
      <c r="F57" s="6">
        <f>SUMIFS(ExpensesTable[Amount],ExpensesTable[Date],"&gt;="&amp;[[#This Row],Month],ExpensesTable[Date],"&lt;"&amp;EDATE([[#This Row],Month],1))</f>
        <v>0</v>
      </c>
      <c r="G57" s="6">
        <f>[[#This Row],Profit]-[[#This Row],Expenses]</f>
        <v>0</v>
      </c>
    </row>
    <row r="58" spans="1:7" ht="20" customHeight="1">
      <c r="A58" s="12"/>
      <c r="B58" s="11">
        <f>COUNTIFS(OrdersTable[Date],"&gt;="&amp;[[#This Row],Month],OrdersTable[Date],"&lt;"&amp;EDATE([[#This Row],Month],1))</f>
        <v>0</v>
      </c>
      <c r="C58" s="6">
        <f>SUMIFS(OrdersTable[Selling Price],OrdersTable[Date],"&gt;="&amp;[[#This Row],Month],OrdersTable[Date],"&lt;"&amp;EDATE([[#This Row],Month],1))</f>
        <v>0</v>
      </c>
      <c r="D58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8" s="6">
        <f>SUMIFS(OrdersTable[Profit],OrdersTable[Date],"&gt;="&amp;[[#This Row],Month],OrdersTable[Date],"&lt;"&amp;EDATE([[#This Row],Month],1))</f>
        <v>0</v>
      </c>
      <c r="F58" s="6">
        <f>SUMIFS(ExpensesTable[Amount],ExpensesTable[Date],"&gt;="&amp;[[#This Row],Month],ExpensesTable[Date],"&lt;"&amp;EDATE([[#This Row],Month],1))</f>
        <v>0</v>
      </c>
      <c r="G58" s="6">
        <f>[[#This Row],Profit]-[[#This Row],Expenses]</f>
        <v>0</v>
      </c>
    </row>
    <row r="59" spans="1:7" ht="20" customHeight="1">
      <c r="A59" s="12"/>
      <c r="B59" s="11">
        <f>COUNTIFS(OrdersTable[Date],"&gt;="&amp;[[#This Row],Month],OrdersTable[Date],"&lt;"&amp;EDATE([[#This Row],Month],1))</f>
        <v>0</v>
      </c>
      <c r="C59" s="6">
        <f>SUMIFS(OrdersTable[Selling Price],OrdersTable[Date],"&gt;="&amp;[[#This Row],Month],OrdersTable[Date],"&lt;"&amp;EDATE([[#This Row],Month],1))</f>
        <v>0</v>
      </c>
      <c r="D59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59" s="6">
        <f>SUMIFS(OrdersTable[Profit],OrdersTable[Date],"&gt;="&amp;[[#This Row],Month],OrdersTable[Date],"&lt;"&amp;EDATE([[#This Row],Month],1))</f>
        <v>0</v>
      </c>
      <c r="F59" s="6">
        <f>SUMIFS(ExpensesTable[Amount],ExpensesTable[Date],"&gt;="&amp;[[#This Row],Month],ExpensesTable[Date],"&lt;"&amp;EDATE([[#This Row],Month],1))</f>
        <v>0</v>
      </c>
      <c r="G59" s="6">
        <f>[[#This Row],Profit]-[[#This Row],Expenses]</f>
        <v>0</v>
      </c>
    </row>
    <row r="60" spans="1:7" ht="20" customHeight="1">
      <c r="A60" s="12"/>
      <c r="B60" s="11">
        <f>COUNTIFS(OrdersTable[Date],"&gt;="&amp;[[#This Row],Month],OrdersTable[Date],"&lt;"&amp;EDATE([[#This Row],Month],1))</f>
        <v>0</v>
      </c>
      <c r="C60" s="6">
        <f>SUMIFS(OrdersTable[Selling Price],OrdersTable[Date],"&gt;="&amp;[[#This Row],Month],OrdersTable[Date],"&lt;"&amp;EDATE([[#This Row],Month],1))</f>
        <v>0</v>
      </c>
      <c r="D60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0" s="6">
        <f>SUMIFS(OrdersTable[Profit],OrdersTable[Date],"&gt;="&amp;[[#This Row],Month],OrdersTable[Date],"&lt;"&amp;EDATE([[#This Row],Month],1))</f>
        <v>0</v>
      </c>
      <c r="F60" s="6">
        <f>SUMIFS(ExpensesTable[Amount],ExpensesTable[Date],"&gt;="&amp;[[#This Row],Month],ExpensesTable[Date],"&lt;"&amp;EDATE([[#This Row],Month],1))</f>
        <v>0</v>
      </c>
      <c r="G60" s="6">
        <f>[[#This Row],Profit]-[[#This Row],Expenses]</f>
        <v>0</v>
      </c>
    </row>
    <row r="61" spans="1:7" ht="20" customHeight="1">
      <c r="A61" s="12"/>
      <c r="B61" s="11">
        <f>COUNTIFS(OrdersTable[Date],"&gt;="&amp;[[#This Row],Month],OrdersTable[Date],"&lt;"&amp;EDATE([[#This Row],Month],1))</f>
        <v>0</v>
      </c>
      <c r="C61" s="6">
        <f>SUMIFS(OrdersTable[Selling Price],OrdersTable[Date],"&gt;="&amp;[[#This Row],Month],OrdersTable[Date],"&lt;"&amp;EDATE([[#This Row],Month],1))</f>
        <v>0</v>
      </c>
      <c r="D61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1" s="6">
        <f>SUMIFS(OrdersTable[Profit],OrdersTable[Date],"&gt;="&amp;[[#This Row],Month],OrdersTable[Date],"&lt;"&amp;EDATE([[#This Row],Month],1))</f>
        <v>0</v>
      </c>
      <c r="F61" s="6">
        <f>SUMIFS(ExpensesTable[Amount],ExpensesTable[Date],"&gt;="&amp;[[#This Row],Month],ExpensesTable[Date],"&lt;"&amp;EDATE([[#This Row],Month],1))</f>
        <v>0</v>
      </c>
      <c r="G61" s="6">
        <f>[[#This Row],Profit]-[[#This Row],Expenses]</f>
        <v>0</v>
      </c>
    </row>
    <row r="62" spans="1:7" ht="20" customHeight="1">
      <c r="A62" s="12"/>
      <c r="B62" s="11">
        <f>COUNTIFS(OrdersTable[Date],"&gt;="&amp;[[#This Row],Month],OrdersTable[Date],"&lt;"&amp;EDATE([[#This Row],Month],1))</f>
        <v>0</v>
      </c>
      <c r="C62" s="6">
        <f>SUMIFS(OrdersTable[Selling Price],OrdersTable[Date],"&gt;="&amp;[[#This Row],Month],OrdersTable[Date],"&lt;"&amp;EDATE([[#This Row],Month],1))</f>
        <v>0</v>
      </c>
      <c r="D62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2" s="6">
        <f>SUMIFS(OrdersTable[Profit],OrdersTable[Date],"&gt;="&amp;[[#This Row],Month],OrdersTable[Date],"&lt;"&amp;EDATE([[#This Row],Month],1))</f>
        <v>0</v>
      </c>
      <c r="F62" s="6">
        <f>SUMIFS(ExpensesTable[Amount],ExpensesTable[Date],"&gt;="&amp;[[#This Row],Month],ExpensesTable[Date],"&lt;"&amp;EDATE([[#This Row],Month],1))</f>
        <v>0</v>
      </c>
      <c r="G62" s="6">
        <f>[[#This Row],Profit]-[[#This Row],Expenses]</f>
        <v>0</v>
      </c>
    </row>
    <row r="63" spans="1:7" ht="20" customHeight="1">
      <c r="A63" s="12"/>
      <c r="B63" s="11">
        <f>COUNTIFS(OrdersTable[Date],"&gt;="&amp;[[#This Row],Month],OrdersTable[Date],"&lt;"&amp;EDATE([[#This Row],Month],1))</f>
        <v>0</v>
      </c>
      <c r="C63" s="6">
        <f>SUMIFS(OrdersTable[Selling Price],OrdersTable[Date],"&gt;="&amp;[[#This Row],Month],OrdersTable[Date],"&lt;"&amp;EDATE([[#This Row],Month],1))</f>
        <v>0</v>
      </c>
      <c r="D63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3" s="6">
        <f>SUMIFS(OrdersTable[Profit],OrdersTable[Date],"&gt;="&amp;[[#This Row],Month],OrdersTable[Date],"&lt;"&amp;EDATE([[#This Row],Month],1))</f>
        <v>0</v>
      </c>
      <c r="F63" s="6">
        <f>SUMIFS(ExpensesTable[Amount],ExpensesTable[Date],"&gt;="&amp;[[#This Row],Month],ExpensesTable[Date],"&lt;"&amp;EDATE([[#This Row],Month],1))</f>
        <v>0</v>
      </c>
      <c r="G63" s="6">
        <f>[[#This Row],Profit]-[[#This Row],Expenses]</f>
        <v>0</v>
      </c>
    </row>
    <row r="64" spans="1:7" ht="20" customHeight="1">
      <c r="A64" s="12"/>
      <c r="B64" s="11">
        <f>COUNTIFS(OrdersTable[Date],"&gt;="&amp;[[#This Row],Month],OrdersTable[Date],"&lt;"&amp;EDATE([[#This Row],Month],1))</f>
        <v>0</v>
      </c>
      <c r="C64" s="6">
        <f>SUMIFS(OrdersTable[Selling Price],OrdersTable[Date],"&gt;="&amp;[[#This Row],Month],OrdersTable[Date],"&lt;"&amp;EDATE([[#This Row],Month],1))</f>
        <v>0</v>
      </c>
      <c r="D64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4" s="6">
        <f>SUMIFS(OrdersTable[Profit],OrdersTable[Date],"&gt;="&amp;[[#This Row],Month],OrdersTable[Date],"&lt;"&amp;EDATE([[#This Row],Month],1))</f>
        <v>0</v>
      </c>
      <c r="F64" s="6">
        <f>SUMIFS(ExpensesTable[Amount],ExpensesTable[Date],"&gt;="&amp;[[#This Row],Month],ExpensesTable[Date],"&lt;"&amp;EDATE([[#This Row],Month],1))</f>
        <v>0</v>
      </c>
      <c r="G64" s="6">
        <f>[[#This Row],Profit]-[[#This Row],Expenses]</f>
        <v>0</v>
      </c>
    </row>
    <row r="65" spans="1:7" ht="20" customHeight="1">
      <c r="A65" s="12"/>
      <c r="B65" s="11">
        <f>COUNTIFS(OrdersTable[Date],"&gt;="&amp;[[#This Row],Month],OrdersTable[Date],"&lt;"&amp;EDATE([[#This Row],Month],1))</f>
        <v>0</v>
      </c>
      <c r="C65" s="6">
        <f>SUMIFS(OrdersTable[Selling Price],OrdersTable[Date],"&gt;="&amp;[[#This Row],Month],OrdersTable[Date],"&lt;"&amp;EDATE([[#This Row],Month],1))</f>
        <v>0</v>
      </c>
      <c r="D65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5" s="6">
        <f>SUMIFS(OrdersTable[Profit],OrdersTable[Date],"&gt;="&amp;[[#This Row],Month],OrdersTable[Date],"&lt;"&amp;EDATE([[#This Row],Month],1))</f>
        <v>0</v>
      </c>
      <c r="F65" s="6">
        <f>SUMIFS(ExpensesTable[Amount],ExpensesTable[Date],"&gt;="&amp;[[#This Row],Month],ExpensesTable[Date],"&lt;"&amp;EDATE([[#This Row],Month],1))</f>
        <v>0</v>
      </c>
      <c r="G65" s="6">
        <f>[[#This Row],Profit]-[[#This Row],Expenses]</f>
        <v>0</v>
      </c>
    </row>
    <row r="66" spans="1:7" ht="20" customHeight="1">
      <c r="A66" s="12"/>
      <c r="B66" s="11">
        <f>COUNTIFS(OrdersTable[Date],"&gt;="&amp;[[#This Row],Month],OrdersTable[Date],"&lt;"&amp;EDATE([[#This Row],Month],1))</f>
        <v>0</v>
      </c>
      <c r="C66" s="6">
        <f>SUMIFS(OrdersTable[Selling Price],OrdersTable[Date],"&gt;="&amp;[[#This Row],Month],OrdersTable[Date],"&lt;"&amp;EDATE([[#This Row],Month],1))</f>
        <v>0</v>
      </c>
      <c r="D66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6" s="6">
        <f>SUMIFS(OrdersTable[Profit],OrdersTable[Date],"&gt;="&amp;[[#This Row],Month],OrdersTable[Date],"&lt;"&amp;EDATE([[#This Row],Month],1))</f>
        <v>0</v>
      </c>
      <c r="F66" s="6">
        <f>SUMIFS(ExpensesTable[Amount],ExpensesTable[Date],"&gt;="&amp;[[#This Row],Month],ExpensesTable[Date],"&lt;"&amp;EDATE([[#This Row],Month],1))</f>
        <v>0</v>
      </c>
      <c r="G66" s="6">
        <f>[[#This Row],Profit]-[[#This Row],Expenses]</f>
        <v>0</v>
      </c>
    </row>
    <row r="67" spans="1:7" ht="20" customHeight="1">
      <c r="A67" s="12"/>
      <c r="B67" s="11">
        <f>COUNTIFS(OrdersTable[Date],"&gt;="&amp;[[#This Row],Month],OrdersTable[Date],"&lt;"&amp;EDATE([[#This Row],Month],1))</f>
        <v>0</v>
      </c>
      <c r="C67" s="6">
        <f>SUMIFS(OrdersTable[Selling Price],OrdersTable[Date],"&gt;="&amp;[[#This Row],Month],OrdersTable[Date],"&lt;"&amp;EDATE([[#This Row],Month],1))</f>
        <v>0</v>
      </c>
      <c r="D67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7" s="6">
        <f>SUMIFS(OrdersTable[Profit],OrdersTable[Date],"&gt;="&amp;[[#This Row],Month],OrdersTable[Date],"&lt;"&amp;EDATE([[#This Row],Month],1))</f>
        <v>0</v>
      </c>
      <c r="F67" s="6">
        <f>SUMIFS(ExpensesTable[Amount],ExpensesTable[Date],"&gt;="&amp;[[#This Row],Month],ExpensesTable[Date],"&lt;"&amp;EDATE([[#This Row],Month],1))</f>
        <v>0</v>
      </c>
      <c r="G67" s="6">
        <f>[[#This Row],Profit]-[[#This Row],Expenses]</f>
        <v>0</v>
      </c>
    </row>
    <row r="68" spans="1:7" ht="20" customHeight="1">
      <c r="A68" s="12"/>
      <c r="B68" s="11">
        <f>COUNTIFS(OrdersTable[Date],"&gt;="&amp;[[#This Row],Month],OrdersTable[Date],"&lt;"&amp;EDATE([[#This Row],Month],1))</f>
        <v>0</v>
      </c>
      <c r="C68" s="6">
        <f>SUMIFS(OrdersTable[Selling Price],OrdersTable[Date],"&gt;="&amp;[[#This Row],Month],OrdersTable[Date],"&lt;"&amp;EDATE([[#This Row],Month],1))</f>
        <v>0</v>
      </c>
      <c r="D68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8" s="6">
        <f>SUMIFS(OrdersTable[Profit],OrdersTable[Date],"&gt;="&amp;[[#This Row],Month],OrdersTable[Date],"&lt;"&amp;EDATE([[#This Row],Month],1))</f>
        <v>0</v>
      </c>
      <c r="F68" s="6">
        <f>SUMIFS(ExpensesTable[Amount],ExpensesTable[Date],"&gt;="&amp;[[#This Row],Month],ExpensesTable[Date],"&lt;"&amp;EDATE([[#This Row],Month],1))</f>
        <v>0</v>
      </c>
      <c r="G68" s="6">
        <f>[[#This Row],Profit]-[[#This Row],Expenses]</f>
        <v>0</v>
      </c>
    </row>
    <row r="69" spans="1:7" ht="20" customHeight="1">
      <c r="A69" s="12"/>
      <c r="B69" s="11">
        <f>COUNTIFS(OrdersTable[Date],"&gt;="&amp;[[#This Row],Month],OrdersTable[Date],"&lt;"&amp;EDATE([[#This Row],Month],1))</f>
        <v>0</v>
      </c>
      <c r="C69" s="6">
        <f>SUMIFS(OrdersTable[Selling Price],OrdersTable[Date],"&gt;="&amp;[[#This Row],Month],OrdersTable[Date],"&lt;"&amp;EDATE([[#This Row],Month],1))</f>
        <v>0</v>
      </c>
      <c r="D69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69" s="6">
        <f>SUMIFS(OrdersTable[Profit],OrdersTable[Date],"&gt;="&amp;[[#This Row],Month],OrdersTable[Date],"&lt;"&amp;EDATE([[#This Row],Month],1))</f>
        <v>0</v>
      </c>
      <c r="F69" s="6">
        <f>SUMIFS(ExpensesTable[Amount],ExpensesTable[Date],"&gt;="&amp;[[#This Row],Month],ExpensesTable[Date],"&lt;"&amp;EDATE([[#This Row],Month],1))</f>
        <v>0</v>
      </c>
      <c r="G69" s="6">
        <f>[[#This Row],Profit]-[[#This Row],Expenses]</f>
        <v>0</v>
      </c>
    </row>
    <row r="70" spans="1:7" ht="20" customHeight="1">
      <c r="A70" s="12"/>
      <c r="B70" s="11">
        <f>COUNTIFS(OrdersTable[Date],"&gt;="&amp;[[#This Row],Month],OrdersTable[Date],"&lt;"&amp;EDATE([[#This Row],Month],1))</f>
        <v>0</v>
      </c>
      <c r="C70" s="6">
        <f>SUMIFS(OrdersTable[Selling Price],OrdersTable[Date],"&gt;="&amp;[[#This Row],Month],OrdersTable[Date],"&lt;"&amp;EDATE([[#This Row],Month],1))</f>
        <v>0</v>
      </c>
      <c r="D70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0" s="6">
        <f>SUMIFS(OrdersTable[Profit],OrdersTable[Date],"&gt;="&amp;[[#This Row],Month],OrdersTable[Date],"&lt;"&amp;EDATE([[#This Row],Month],1))</f>
        <v>0</v>
      </c>
      <c r="F70" s="6">
        <f>SUMIFS(ExpensesTable[Amount],ExpensesTable[Date],"&gt;="&amp;[[#This Row],Month],ExpensesTable[Date],"&lt;"&amp;EDATE([[#This Row],Month],1))</f>
        <v>0</v>
      </c>
      <c r="G70" s="6">
        <f>[[#This Row],Profit]-[[#This Row],Expenses]</f>
        <v>0</v>
      </c>
    </row>
    <row r="71" spans="1:7" ht="20" customHeight="1">
      <c r="A71" s="12"/>
      <c r="B71" s="11">
        <f>COUNTIFS(OrdersTable[Date],"&gt;="&amp;[[#This Row],Month],OrdersTable[Date],"&lt;"&amp;EDATE([[#This Row],Month],1))</f>
        <v>0</v>
      </c>
      <c r="C71" s="6">
        <f>SUMIFS(OrdersTable[Selling Price],OrdersTable[Date],"&gt;="&amp;[[#This Row],Month],OrdersTable[Date],"&lt;"&amp;EDATE([[#This Row],Month],1))</f>
        <v>0</v>
      </c>
      <c r="D71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1" s="6">
        <f>SUMIFS(OrdersTable[Profit],OrdersTable[Date],"&gt;="&amp;[[#This Row],Month],OrdersTable[Date],"&lt;"&amp;EDATE([[#This Row],Month],1))</f>
        <v>0</v>
      </c>
      <c r="F71" s="6">
        <f>SUMIFS(ExpensesTable[Amount],ExpensesTable[Date],"&gt;="&amp;[[#This Row],Month],ExpensesTable[Date],"&lt;"&amp;EDATE([[#This Row],Month],1))</f>
        <v>0</v>
      </c>
      <c r="G71" s="6">
        <f>[[#This Row],Profit]-[[#This Row],Expenses]</f>
        <v>0</v>
      </c>
    </row>
    <row r="72" spans="1:7" ht="20" customHeight="1">
      <c r="A72" s="12"/>
      <c r="B72" s="11">
        <f>COUNTIFS(OrdersTable[Date],"&gt;="&amp;[[#This Row],Month],OrdersTable[Date],"&lt;"&amp;EDATE([[#This Row],Month],1))</f>
        <v>0</v>
      </c>
      <c r="C72" s="6">
        <f>SUMIFS(OrdersTable[Selling Price],OrdersTable[Date],"&gt;="&amp;[[#This Row],Month],OrdersTable[Date],"&lt;"&amp;EDATE([[#This Row],Month],1))</f>
        <v>0</v>
      </c>
      <c r="D72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2" s="6">
        <f>SUMIFS(OrdersTable[Profit],OrdersTable[Date],"&gt;="&amp;[[#This Row],Month],OrdersTable[Date],"&lt;"&amp;EDATE([[#This Row],Month],1))</f>
        <v>0</v>
      </c>
      <c r="F72" s="6">
        <f>SUMIFS(ExpensesTable[Amount],ExpensesTable[Date],"&gt;="&amp;[[#This Row],Month],ExpensesTable[Date],"&lt;"&amp;EDATE([[#This Row],Month],1))</f>
        <v>0</v>
      </c>
      <c r="G72" s="6">
        <f>[[#This Row],Profit]-[[#This Row],Expenses]</f>
        <v>0</v>
      </c>
    </row>
    <row r="73" spans="1:7" ht="20" customHeight="1">
      <c r="A73" s="12"/>
      <c r="B73" s="11">
        <f>COUNTIFS(OrdersTable[Date],"&gt;="&amp;[[#This Row],Month],OrdersTable[Date],"&lt;"&amp;EDATE([[#This Row],Month],1))</f>
        <v>0</v>
      </c>
      <c r="C73" s="6">
        <f>SUMIFS(OrdersTable[Selling Price],OrdersTable[Date],"&gt;="&amp;[[#This Row],Month],OrdersTable[Date],"&lt;"&amp;EDATE([[#This Row],Month],1))</f>
        <v>0</v>
      </c>
      <c r="D73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3" s="6">
        <f>SUMIFS(OrdersTable[Profit],OrdersTable[Date],"&gt;="&amp;[[#This Row],Month],OrdersTable[Date],"&lt;"&amp;EDATE([[#This Row],Month],1))</f>
        <v>0</v>
      </c>
      <c r="F73" s="6">
        <f>SUMIFS(ExpensesTable[Amount],ExpensesTable[Date],"&gt;="&amp;[[#This Row],Month],ExpensesTable[Date],"&lt;"&amp;EDATE([[#This Row],Month],1))</f>
        <v>0</v>
      </c>
      <c r="G73" s="6">
        <f>[[#This Row],Profit]-[[#This Row],Expenses]</f>
        <v>0</v>
      </c>
    </row>
    <row r="74" spans="1:7" ht="20" customHeight="1">
      <c r="A74" s="12"/>
      <c r="B74" s="11">
        <f>COUNTIFS(OrdersTable[Date],"&gt;="&amp;[[#This Row],Month],OrdersTable[Date],"&lt;"&amp;EDATE([[#This Row],Month],1))</f>
        <v>0</v>
      </c>
      <c r="C74" s="6">
        <f>SUMIFS(OrdersTable[Selling Price],OrdersTable[Date],"&gt;="&amp;[[#This Row],Month],OrdersTable[Date],"&lt;"&amp;EDATE([[#This Row],Month],1))</f>
        <v>0</v>
      </c>
      <c r="D74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4" s="6">
        <f>SUMIFS(OrdersTable[Profit],OrdersTable[Date],"&gt;="&amp;[[#This Row],Month],OrdersTable[Date],"&lt;"&amp;EDATE([[#This Row],Month],1))</f>
        <v>0</v>
      </c>
      <c r="F74" s="6">
        <f>SUMIFS(ExpensesTable[Amount],ExpensesTable[Date],"&gt;="&amp;[[#This Row],Month],ExpensesTable[Date],"&lt;"&amp;EDATE([[#This Row],Month],1))</f>
        <v>0</v>
      </c>
      <c r="G74" s="6">
        <f>[[#This Row],Profit]-[[#This Row],Expenses]</f>
        <v>0</v>
      </c>
    </row>
    <row r="75" spans="1:7" ht="20" customHeight="1">
      <c r="A75" s="12"/>
      <c r="B75" s="11">
        <f>COUNTIFS(OrdersTable[Date],"&gt;="&amp;[[#This Row],Month],OrdersTable[Date],"&lt;"&amp;EDATE([[#This Row],Month],1))</f>
        <v>0</v>
      </c>
      <c r="C75" s="6">
        <f>SUMIFS(OrdersTable[Selling Price],OrdersTable[Date],"&gt;="&amp;[[#This Row],Month],OrdersTable[Date],"&lt;"&amp;EDATE([[#This Row],Month],1))</f>
        <v>0</v>
      </c>
      <c r="D75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5" s="6">
        <f>SUMIFS(OrdersTable[Profit],OrdersTable[Date],"&gt;="&amp;[[#This Row],Month],OrdersTable[Date],"&lt;"&amp;EDATE([[#This Row],Month],1))</f>
        <v>0</v>
      </c>
      <c r="F75" s="6">
        <f>SUMIFS(ExpensesTable[Amount],ExpensesTable[Date],"&gt;="&amp;[[#This Row],Month],ExpensesTable[Date],"&lt;"&amp;EDATE([[#This Row],Month],1))</f>
        <v>0</v>
      </c>
      <c r="G75" s="6">
        <f>[[#This Row],Profit]-[[#This Row],Expenses]</f>
        <v>0</v>
      </c>
    </row>
    <row r="76" spans="1:7" ht="20" customHeight="1">
      <c r="A76" s="12"/>
      <c r="B76" s="11">
        <f>COUNTIFS(OrdersTable[Date],"&gt;="&amp;[[#This Row],Month],OrdersTable[Date],"&lt;"&amp;EDATE([[#This Row],Month],1))</f>
        <v>0</v>
      </c>
      <c r="C76" s="6">
        <f>SUMIFS(OrdersTable[Selling Price],OrdersTable[Date],"&gt;="&amp;[[#This Row],Month],OrdersTable[Date],"&lt;"&amp;EDATE([[#This Row],Month],1))</f>
        <v>0</v>
      </c>
      <c r="D76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6" s="6">
        <f>SUMIFS(OrdersTable[Profit],OrdersTable[Date],"&gt;="&amp;[[#This Row],Month],OrdersTable[Date],"&lt;"&amp;EDATE([[#This Row],Month],1))</f>
        <v>0</v>
      </c>
      <c r="F76" s="6">
        <f>SUMIFS(ExpensesTable[Amount],ExpensesTable[Date],"&gt;="&amp;[[#This Row],Month],ExpensesTable[Date],"&lt;"&amp;EDATE([[#This Row],Month],1))</f>
        <v>0</v>
      </c>
      <c r="G76" s="6">
        <f>[[#This Row],Profit]-[[#This Row],Expenses]</f>
        <v>0</v>
      </c>
    </row>
    <row r="77" spans="1:7" ht="20" customHeight="1">
      <c r="A77" s="12"/>
      <c r="B77" s="11">
        <f>COUNTIFS(OrdersTable[Date],"&gt;="&amp;[[#This Row],Month],OrdersTable[Date],"&lt;"&amp;EDATE([[#This Row],Month],1))</f>
        <v>0</v>
      </c>
      <c r="C77" s="6">
        <f>SUMIFS(OrdersTable[Selling Price],OrdersTable[Date],"&gt;="&amp;[[#This Row],Month],OrdersTable[Date],"&lt;"&amp;EDATE([[#This Row],Month],1))</f>
        <v>0</v>
      </c>
      <c r="D77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7" s="6">
        <f>SUMIFS(OrdersTable[Profit],OrdersTable[Date],"&gt;="&amp;[[#This Row],Month],OrdersTable[Date],"&lt;"&amp;EDATE([[#This Row],Month],1))</f>
        <v>0</v>
      </c>
      <c r="F77" s="6">
        <f>SUMIFS(ExpensesTable[Amount],ExpensesTable[Date],"&gt;="&amp;[[#This Row],Month],ExpensesTable[Date],"&lt;"&amp;EDATE([[#This Row],Month],1))</f>
        <v>0</v>
      </c>
      <c r="G77" s="6">
        <f>[[#This Row],Profit]-[[#This Row],Expenses]</f>
        <v>0</v>
      </c>
    </row>
    <row r="78" spans="1:7" ht="20" customHeight="1">
      <c r="A78" s="12"/>
      <c r="B78" s="11">
        <f>COUNTIFS(OrdersTable[Date],"&gt;="&amp;[[#This Row],Month],OrdersTable[Date],"&lt;"&amp;EDATE([[#This Row],Month],1))</f>
        <v>0</v>
      </c>
      <c r="C78" s="6">
        <f>SUMIFS(OrdersTable[Selling Price],OrdersTable[Date],"&gt;="&amp;[[#This Row],Month],OrdersTable[Date],"&lt;"&amp;EDATE([[#This Row],Month],1))</f>
        <v>0</v>
      </c>
      <c r="D78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8" s="6">
        <f>SUMIFS(OrdersTable[Profit],OrdersTable[Date],"&gt;="&amp;[[#This Row],Month],OrdersTable[Date],"&lt;"&amp;EDATE([[#This Row],Month],1))</f>
        <v>0</v>
      </c>
      <c r="F78" s="6">
        <f>SUMIFS(ExpensesTable[Amount],ExpensesTable[Date],"&gt;="&amp;[[#This Row],Month],ExpensesTable[Date],"&lt;"&amp;EDATE([[#This Row],Month],1))</f>
        <v>0</v>
      </c>
      <c r="G78" s="6">
        <f>[[#This Row],Profit]-[[#This Row],Expenses]</f>
        <v>0</v>
      </c>
    </row>
    <row r="79" spans="1:7" ht="20" customHeight="1">
      <c r="A79" s="12"/>
      <c r="B79" s="11">
        <f>COUNTIFS(OrdersTable[Date],"&gt;="&amp;[[#This Row],Month],OrdersTable[Date],"&lt;"&amp;EDATE([[#This Row],Month],1))</f>
        <v>0</v>
      </c>
      <c r="C79" s="6">
        <f>SUMIFS(OrdersTable[Selling Price],OrdersTable[Date],"&gt;="&amp;[[#This Row],Month],OrdersTable[Date],"&lt;"&amp;EDATE([[#This Row],Month],1))</f>
        <v>0</v>
      </c>
      <c r="D79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79" s="6">
        <f>SUMIFS(OrdersTable[Profit],OrdersTable[Date],"&gt;="&amp;[[#This Row],Month],OrdersTable[Date],"&lt;"&amp;EDATE([[#This Row],Month],1))</f>
        <v>0</v>
      </c>
      <c r="F79" s="6">
        <f>SUMIFS(ExpensesTable[Amount],ExpensesTable[Date],"&gt;="&amp;[[#This Row],Month],ExpensesTable[Date],"&lt;"&amp;EDATE([[#This Row],Month],1))</f>
        <v>0</v>
      </c>
      <c r="G79" s="6">
        <f>[[#This Row],Profit]-[[#This Row],Expenses]</f>
        <v>0</v>
      </c>
    </row>
    <row r="80" spans="1:7" ht="20" customHeight="1">
      <c r="A80" s="12"/>
      <c r="B80" s="11">
        <f>COUNTIFS(OrdersTable[Date],"&gt;="&amp;[[#This Row],Month],OrdersTable[Date],"&lt;"&amp;EDATE([[#This Row],Month],1))</f>
        <v>0</v>
      </c>
      <c r="C80" s="6">
        <f>SUMIFS(OrdersTable[Selling Price],OrdersTable[Date],"&gt;="&amp;[[#This Row],Month],OrdersTable[Date],"&lt;"&amp;EDATE([[#This Row],Month],1))</f>
        <v>0</v>
      </c>
      <c r="D80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0" s="6">
        <f>SUMIFS(OrdersTable[Profit],OrdersTable[Date],"&gt;="&amp;[[#This Row],Month],OrdersTable[Date],"&lt;"&amp;EDATE([[#This Row],Month],1))</f>
        <v>0</v>
      </c>
      <c r="F80" s="6">
        <f>SUMIFS(ExpensesTable[Amount],ExpensesTable[Date],"&gt;="&amp;[[#This Row],Month],ExpensesTable[Date],"&lt;"&amp;EDATE([[#This Row],Month],1))</f>
        <v>0</v>
      </c>
      <c r="G80" s="6">
        <f>[[#This Row],Profit]-[[#This Row],Expenses]</f>
        <v>0</v>
      </c>
    </row>
    <row r="81" spans="1:7" ht="20" customHeight="1">
      <c r="A81" s="12"/>
      <c r="B81" s="11">
        <f>COUNTIFS(OrdersTable[Date],"&gt;="&amp;[[#This Row],Month],OrdersTable[Date],"&lt;"&amp;EDATE([[#This Row],Month],1))</f>
        <v>0</v>
      </c>
      <c r="C81" s="6">
        <f>SUMIFS(OrdersTable[Selling Price],OrdersTable[Date],"&gt;="&amp;[[#This Row],Month],OrdersTable[Date],"&lt;"&amp;EDATE([[#This Row],Month],1))</f>
        <v>0</v>
      </c>
      <c r="D81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1" s="6">
        <f>SUMIFS(OrdersTable[Profit],OrdersTable[Date],"&gt;="&amp;[[#This Row],Month],OrdersTable[Date],"&lt;"&amp;EDATE([[#This Row],Month],1))</f>
        <v>0</v>
      </c>
      <c r="F81" s="6">
        <f>SUMIFS(ExpensesTable[Amount],ExpensesTable[Date],"&gt;="&amp;[[#This Row],Month],ExpensesTable[Date],"&lt;"&amp;EDATE([[#This Row],Month],1))</f>
        <v>0</v>
      </c>
      <c r="G81" s="6">
        <f>[[#This Row],Profit]-[[#This Row],Expenses]</f>
        <v>0</v>
      </c>
    </row>
    <row r="82" spans="1:7" ht="20" customHeight="1">
      <c r="A82" s="12"/>
      <c r="B82" s="11">
        <f>COUNTIFS(OrdersTable[Date],"&gt;="&amp;[[#This Row],Month],OrdersTable[Date],"&lt;"&amp;EDATE([[#This Row],Month],1))</f>
        <v>0</v>
      </c>
      <c r="C82" s="6">
        <f>SUMIFS(OrdersTable[Selling Price],OrdersTable[Date],"&gt;="&amp;[[#This Row],Month],OrdersTable[Date],"&lt;"&amp;EDATE([[#This Row],Month],1))</f>
        <v>0</v>
      </c>
      <c r="D82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2" s="6">
        <f>SUMIFS(OrdersTable[Profit],OrdersTable[Date],"&gt;="&amp;[[#This Row],Month],OrdersTable[Date],"&lt;"&amp;EDATE([[#This Row],Month],1))</f>
        <v>0</v>
      </c>
      <c r="F82" s="6">
        <f>SUMIFS(ExpensesTable[Amount],ExpensesTable[Date],"&gt;="&amp;[[#This Row],Month],ExpensesTable[Date],"&lt;"&amp;EDATE([[#This Row],Month],1))</f>
        <v>0</v>
      </c>
      <c r="G82" s="6">
        <f>[[#This Row],Profit]-[[#This Row],Expenses]</f>
        <v>0</v>
      </c>
    </row>
    <row r="83" spans="1:7" ht="20" customHeight="1">
      <c r="A83" s="12"/>
      <c r="B83" s="11">
        <f>COUNTIFS(OrdersTable[Date],"&gt;="&amp;[[#This Row],Month],OrdersTable[Date],"&lt;"&amp;EDATE([[#This Row],Month],1))</f>
        <v>0</v>
      </c>
      <c r="C83" s="6">
        <f>SUMIFS(OrdersTable[Selling Price],OrdersTable[Date],"&gt;="&amp;[[#This Row],Month],OrdersTable[Date],"&lt;"&amp;EDATE([[#This Row],Month],1))</f>
        <v>0</v>
      </c>
      <c r="D83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3" s="6">
        <f>SUMIFS(OrdersTable[Profit],OrdersTable[Date],"&gt;="&amp;[[#This Row],Month],OrdersTable[Date],"&lt;"&amp;EDATE([[#This Row],Month],1))</f>
        <v>0</v>
      </c>
      <c r="F83" s="6">
        <f>SUMIFS(ExpensesTable[Amount],ExpensesTable[Date],"&gt;="&amp;[[#This Row],Month],ExpensesTable[Date],"&lt;"&amp;EDATE([[#This Row],Month],1))</f>
        <v>0</v>
      </c>
      <c r="G83" s="6">
        <f>[[#This Row],Profit]-[[#This Row],Expenses]</f>
        <v>0</v>
      </c>
    </row>
    <row r="84" spans="1:7" ht="20" customHeight="1">
      <c r="A84" s="12"/>
      <c r="B84" s="11">
        <f>COUNTIFS(OrdersTable[Date],"&gt;="&amp;[[#This Row],Month],OrdersTable[Date],"&lt;"&amp;EDATE([[#This Row],Month],1))</f>
        <v>0</v>
      </c>
      <c r="C84" s="6">
        <f>SUMIFS(OrdersTable[Selling Price],OrdersTable[Date],"&gt;="&amp;[[#This Row],Month],OrdersTable[Date],"&lt;"&amp;EDATE([[#This Row],Month],1))</f>
        <v>0</v>
      </c>
      <c r="D84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4" s="6">
        <f>SUMIFS(OrdersTable[Profit],OrdersTable[Date],"&gt;="&amp;[[#This Row],Month],OrdersTable[Date],"&lt;"&amp;EDATE([[#This Row],Month],1))</f>
        <v>0</v>
      </c>
      <c r="F84" s="6">
        <f>SUMIFS(ExpensesTable[Amount],ExpensesTable[Date],"&gt;="&amp;[[#This Row],Month],ExpensesTable[Date],"&lt;"&amp;EDATE([[#This Row],Month],1))</f>
        <v>0</v>
      </c>
      <c r="G84" s="6">
        <f>[[#This Row],Profit]-[[#This Row],Expenses]</f>
        <v>0</v>
      </c>
    </row>
    <row r="85" spans="1:7" ht="20" customHeight="1">
      <c r="A85" s="12"/>
      <c r="B85" s="11">
        <f>COUNTIFS(OrdersTable[Date],"&gt;="&amp;[[#This Row],Month],OrdersTable[Date],"&lt;"&amp;EDATE([[#This Row],Month],1))</f>
        <v>0</v>
      </c>
      <c r="C85" s="6">
        <f>SUMIFS(OrdersTable[Selling Price],OrdersTable[Date],"&gt;="&amp;[[#This Row],Month],OrdersTable[Date],"&lt;"&amp;EDATE([[#This Row],Month],1))</f>
        <v>0</v>
      </c>
      <c r="D85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5" s="6">
        <f>SUMIFS(OrdersTable[Profit],OrdersTable[Date],"&gt;="&amp;[[#This Row],Month],OrdersTable[Date],"&lt;"&amp;EDATE([[#This Row],Month],1))</f>
        <v>0</v>
      </c>
      <c r="F85" s="6">
        <f>SUMIFS(ExpensesTable[Amount],ExpensesTable[Date],"&gt;="&amp;[[#This Row],Month],ExpensesTable[Date],"&lt;"&amp;EDATE([[#This Row],Month],1))</f>
        <v>0</v>
      </c>
      <c r="G85" s="6">
        <f>[[#This Row],Profit]-[[#This Row],Expenses]</f>
        <v>0</v>
      </c>
    </row>
    <row r="86" spans="1:7" ht="20" customHeight="1">
      <c r="A86" s="12"/>
      <c r="B86" s="11">
        <f>COUNTIFS(OrdersTable[Date],"&gt;="&amp;[[#This Row],Month],OrdersTable[Date],"&lt;"&amp;EDATE([[#This Row],Month],1))</f>
        <v>0</v>
      </c>
      <c r="C86" s="6">
        <f>SUMIFS(OrdersTable[Selling Price],OrdersTable[Date],"&gt;="&amp;[[#This Row],Month],OrdersTable[Date],"&lt;"&amp;EDATE([[#This Row],Month],1))</f>
        <v>0</v>
      </c>
      <c r="D86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6" s="6">
        <f>SUMIFS(OrdersTable[Profit],OrdersTable[Date],"&gt;="&amp;[[#This Row],Month],OrdersTable[Date],"&lt;"&amp;EDATE([[#This Row],Month],1))</f>
        <v>0</v>
      </c>
      <c r="F86" s="6">
        <f>SUMIFS(ExpensesTable[Amount],ExpensesTable[Date],"&gt;="&amp;[[#This Row],Month],ExpensesTable[Date],"&lt;"&amp;EDATE([[#This Row],Month],1))</f>
        <v>0</v>
      </c>
      <c r="G86" s="6">
        <f>[[#This Row],Profit]-[[#This Row],Expenses]</f>
        <v>0</v>
      </c>
    </row>
    <row r="87" spans="1:7" ht="20" customHeight="1">
      <c r="A87" s="12"/>
      <c r="B87" s="11">
        <f>COUNTIFS(OrdersTable[Date],"&gt;="&amp;[[#This Row],Month],OrdersTable[Date],"&lt;"&amp;EDATE([[#This Row],Month],1))</f>
        <v>0</v>
      </c>
      <c r="C87" s="6">
        <f>SUMIFS(OrdersTable[Selling Price],OrdersTable[Date],"&gt;="&amp;[[#This Row],Month],OrdersTable[Date],"&lt;"&amp;EDATE([[#This Row],Month],1))</f>
        <v>0</v>
      </c>
      <c r="D87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7" s="6">
        <f>SUMIFS(OrdersTable[Profit],OrdersTable[Date],"&gt;="&amp;[[#This Row],Month],OrdersTable[Date],"&lt;"&amp;EDATE([[#This Row],Month],1))</f>
        <v>0</v>
      </c>
      <c r="F87" s="6">
        <f>SUMIFS(ExpensesTable[Amount],ExpensesTable[Date],"&gt;="&amp;[[#This Row],Month],ExpensesTable[Date],"&lt;"&amp;EDATE([[#This Row],Month],1))</f>
        <v>0</v>
      </c>
      <c r="G87" s="6">
        <f>[[#This Row],Profit]-[[#This Row],Expenses]</f>
        <v>0</v>
      </c>
    </row>
    <row r="88" spans="1:7" ht="20" customHeight="1">
      <c r="A88" s="12"/>
      <c r="B88" s="11">
        <f>COUNTIFS(OrdersTable[Date],"&gt;="&amp;[[#This Row],Month],OrdersTable[Date],"&lt;"&amp;EDATE([[#This Row],Month],1))</f>
        <v>0</v>
      </c>
      <c r="C88" s="6">
        <f>SUMIFS(OrdersTable[Selling Price],OrdersTable[Date],"&gt;="&amp;[[#This Row],Month],OrdersTable[Date],"&lt;"&amp;EDATE([[#This Row],Month],1))</f>
        <v>0</v>
      </c>
      <c r="D88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8" s="6">
        <f>SUMIFS(OrdersTable[Profit],OrdersTable[Date],"&gt;="&amp;[[#This Row],Month],OrdersTable[Date],"&lt;"&amp;EDATE([[#This Row],Month],1))</f>
        <v>0</v>
      </c>
      <c r="F88" s="6">
        <f>SUMIFS(ExpensesTable[Amount],ExpensesTable[Date],"&gt;="&amp;[[#This Row],Month],ExpensesTable[Date],"&lt;"&amp;EDATE([[#This Row],Month],1))</f>
        <v>0</v>
      </c>
      <c r="G88" s="6">
        <f>[[#This Row],Profit]-[[#This Row],Expenses]</f>
        <v>0</v>
      </c>
    </row>
    <row r="89" spans="1:7" ht="20" customHeight="1">
      <c r="A89" s="12"/>
      <c r="B89" s="11">
        <f>COUNTIFS(OrdersTable[Date],"&gt;="&amp;[[#This Row],Month],OrdersTable[Date],"&lt;"&amp;EDATE([[#This Row],Month],1))</f>
        <v>0</v>
      </c>
      <c r="C89" s="6">
        <f>SUMIFS(OrdersTable[Selling Price],OrdersTable[Date],"&gt;="&amp;[[#This Row],Month],OrdersTable[Date],"&lt;"&amp;EDATE([[#This Row],Month],1))</f>
        <v>0</v>
      </c>
      <c r="D89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89" s="6">
        <f>SUMIFS(OrdersTable[Profit],OrdersTable[Date],"&gt;="&amp;[[#This Row],Month],OrdersTable[Date],"&lt;"&amp;EDATE([[#This Row],Month],1))</f>
        <v>0</v>
      </c>
      <c r="F89" s="6">
        <f>SUMIFS(ExpensesTable[Amount],ExpensesTable[Date],"&gt;="&amp;[[#This Row],Month],ExpensesTable[Date],"&lt;"&amp;EDATE([[#This Row],Month],1))</f>
        <v>0</v>
      </c>
      <c r="G89" s="6">
        <f>[[#This Row],Profit]-[[#This Row],Expenses]</f>
        <v>0</v>
      </c>
    </row>
    <row r="90" spans="1:7" ht="20" customHeight="1">
      <c r="A90" s="12"/>
      <c r="B90" s="11">
        <f>COUNTIFS(OrdersTable[Date],"&gt;="&amp;[[#This Row],Month],OrdersTable[Date],"&lt;"&amp;EDATE([[#This Row],Month],1))</f>
        <v>0</v>
      </c>
      <c r="C90" s="6">
        <f>SUMIFS(OrdersTable[Selling Price],OrdersTable[Date],"&gt;="&amp;[[#This Row],Month],OrdersTable[Date],"&lt;"&amp;EDATE([[#This Row],Month],1))</f>
        <v>0</v>
      </c>
      <c r="D90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0" s="6">
        <f>SUMIFS(OrdersTable[Profit],OrdersTable[Date],"&gt;="&amp;[[#This Row],Month],OrdersTable[Date],"&lt;"&amp;EDATE([[#This Row],Month],1))</f>
        <v>0</v>
      </c>
      <c r="F90" s="6">
        <f>SUMIFS(ExpensesTable[Amount],ExpensesTable[Date],"&gt;="&amp;[[#This Row],Month],ExpensesTable[Date],"&lt;"&amp;EDATE([[#This Row],Month],1))</f>
        <v>0</v>
      </c>
      <c r="G90" s="6">
        <f>[[#This Row],Profit]-[[#This Row],Expenses]</f>
        <v>0</v>
      </c>
    </row>
    <row r="91" spans="1:7" ht="20" customHeight="1">
      <c r="A91" s="12"/>
      <c r="B91" s="11">
        <f>COUNTIFS(OrdersTable[Date],"&gt;="&amp;[[#This Row],Month],OrdersTable[Date],"&lt;"&amp;EDATE([[#This Row],Month],1))</f>
        <v>0</v>
      </c>
      <c r="C91" s="6">
        <f>SUMIFS(OrdersTable[Selling Price],OrdersTable[Date],"&gt;="&amp;[[#This Row],Month],OrdersTable[Date],"&lt;"&amp;EDATE([[#This Row],Month],1))</f>
        <v>0</v>
      </c>
      <c r="D91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1" s="6">
        <f>SUMIFS(OrdersTable[Profit],OrdersTable[Date],"&gt;="&amp;[[#This Row],Month],OrdersTable[Date],"&lt;"&amp;EDATE([[#This Row],Month],1))</f>
        <v>0</v>
      </c>
      <c r="F91" s="6">
        <f>SUMIFS(ExpensesTable[Amount],ExpensesTable[Date],"&gt;="&amp;[[#This Row],Month],ExpensesTable[Date],"&lt;"&amp;EDATE([[#This Row],Month],1))</f>
        <v>0</v>
      </c>
      <c r="G91" s="6">
        <f>[[#This Row],Profit]-[[#This Row],Expenses]</f>
        <v>0</v>
      </c>
    </row>
    <row r="92" spans="1:7" ht="20" customHeight="1">
      <c r="A92" s="12"/>
      <c r="B92" s="11">
        <f>COUNTIFS(OrdersTable[Date],"&gt;="&amp;[[#This Row],Month],OrdersTable[Date],"&lt;"&amp;EDATE([[#This Row],Month],1))</f>
        <v>0</v>
      </c>
      <c r="C92" s="6">
        <f>SUMIFS(OrdersTable[Selling Price],OrdersTable[Date],"&gt;="&amp;[[#This Row],Month],OrdersTable[Date],"&lt;"&amp;EDATE([[#This Row],Month],1))</f>
        <v>0</v>
      </c>
      <c r="D92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2" s="6">
        <f>SUMIFS(OrdersTable[Profit],OrdersTable[Date],"&gt;="&amp;[[#This Row],Month],OrdersTable[Date],"&lt;"&amp;EDATE([[#This Row],Month],1))</f>
        <v>0</v>
      </c>
      <c r="F92" s="6">
        <f>SUMIFS(ExpensesTable[Amount],ExpensesTable[Date],"&gt;="&amp;[[#This Row],Month],ExpensesTable[Date],"&lt;"&amp;EDATE([[#This Row],Month],1))</f>
        <v>0</v>
      </c>
      <c r="G92" s="6">
        <f>[[#This Row],Profit]-[[#This Row],Expenses]</f>
        <v>0</v>
      </c>
    </row>
    <row r="93" spans="1:7" ht="20" customHeight="1">
      <c r="A93" s="12"/>
      <c r="B93" s="11">
        <f>COUNTIFS(OrdersTable[Date],"&gt;="&amp;[[#This Row],Month],OrdersTable[Date],"&lt;"&amp;EDATE([[#This Row],Month],1))</f>
        <v>0</v>
      </c>
      <c r="C93" s="6">
        <f>SUMIFS(OrdersTable[Selling Price],OrdersTable[Date],"&gt;="&amp;[[#This Row],Month],OrdersTable[Date],"&lt;"&amp;EDATE([[#This Row],Month],1))</f>
        <v>0</v>
      </c>
      <c r="D93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3" s="6">
        <f>SUMIFS(OrdersTable[Profit],OrdersTable[Date],"&gt;="&amp;[[#This Row],Month],OrdersTable[Date],"&lt;"&amp;EDATE([[#This Row],Month],1))</f>
        <v>0</v>
      </c>
      <c r="F93" s="6">
        <f>SUMIFS(ExpensesTable[Amount],ExpensesTable[Date],"&gt;="&amp;[[#This Row],Month],ExpensesTable[Date],"&lt;"&amp;EDATE([[#This Row],Month],1))</f>
        <v>0</v>
      </c>
      <c r="G93" s="6">
        <f>[[#This Row],Profit]-[[#This Row],Expenses]</f>
        <v>0</v>
      </c>
    </row>
    <row r="94" spans="1:7" ht="20" customHeight="1">
      <c r="A94" s="12"/>
      <c r="B94" s="11">
        <f>COUNTIFS(OrdersTable[Date],"&gt;="&amp;[[#This Row],Month],OrdersTable[Date],"&lt;"&amp;EDATE([[#This Row],Month],1))</f>
        <v>0</v>
      </c>
      <c r="C94" s="6">
        <f>SUMIFS(OrdersTable[Selling Price],OrdersTable[Date],"&gt;="&amp;[[#This Row],Month],OrdersTable[Date],"&lt;"&amp;EDATE([[#This Row],Month],1))</f>
        <v>0</v>
      </c>
      <c r="D94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4" s="6">
        <f>SUMIFS(OrdersTable[Profit],OrdersTable[Date],"&gt;="&amp;[[#This Row],Month],OrdersTable[Date],"&lt;"&amp;EDATE([[#This Row],Month],1))</f>
        <v>0</v>
      </c>
      <c r="F94" s="6">
        <f>SUMIFS(ExpensesTable[Amount],ExpensesTable[Date],"&gt;="&amp;[[#This Row],Month],ExpensesTable[Date],"&lt;"&amp;EDATE([[#This Row],Month],1))</f>
        <v>0</v>
      </c>
      <c r="G94" s="6">
        <f>[[#This Row],Profit]-[[#This Row],Expenses]</f>
        <v>0</v>
      </c>
    </row>
    <row r="95" spans="1:7" ht="20" customHeight="1">
      <c r="A95" s="12"/>
      <c r="B95" s="11">
        <f>COUNTIFS(OrdersTable[Date],"&gt;="&amp;[[#This Row],Month],OrdersTable[Date],"&lt;"&amp;EDATE([[#This Row],Month],1))</f>
        <v>0</v>
      </c>
      <c r="C95" s="6">
        <f>SUMIFS(OrdersTable[Selling Price],OrdersTable[Date],"&gt;="&amp;[[#This Row],Month],OrdersTable[Date],"&lt;"&amp;EDATE([[#This Row],Month],1))</f>
        <v>0</v>
      </c>
      <c r="D95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5" s="6">
        <f>SUMIFS(OrdersTable[Profit],OrdersTable[Date],"&gt;="&amp;[[#This Row],Month],OrdersTable[Date],"&lt;"&amp;EDATE([[#This Row],Month],1))</f>
        <v>0</v>
      </c>
      <c r="F95" s="6">
        <f>SUMIFS(ExpensesTable[Amount],ExpensesTable[Date],"&gt;="&amp;[[#This Row],Month],ExpensesTable[Date],"&lt;"&amp;EDATE([[#This Row],Month],1))</f>
        <v>0</v>
      </c>
      <c r="G95" s="6">
        <f>[[#This Row],Profit]-[[#This Row],Expenses]</f>
        <v>0</v>
      </c>
    </row>
    <row r="96" spans="1:7" ht="20" customHeight="1">
      <c r="A96" s="12"/>
      <c r="B96" s="11">
        <f>COUNTIFS(OrdersTable[Date],"&gt;="&amp;[[#This Row],Month],OrdersTable[Date],"&lt;"&amp;EDATE([[#This Row],Month],1))</f>
        <v>0</v>
      </c>
      <c r="C96" s="6">
        <f>SUMIFS(OrdersTable[Selling Price],OrdersTable[Date],"&gt;="&amp;[[#This Row],Month],OrdersTable[Date],"&lt;"&amp;EDATE([[#This Row],Month],1))</f>
        <v>0</v>
      </c>
      <c r="D96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6" s="6">
        <f>SUMIFS(OrdersTable[Profit],OrdersTable[Date],"&gt;="&amp;[[#This Row],Month],OrdersTable[Date],"&lt;"&amp;EDATE([[#This Row],Month],1))</f>
        <v>0</v>
      </c>
      <c r="F96" s="6">
        <f>SUMIFS(ExpensesTable[Amount],ExpensesTable[Date],"&gt;="&amp;[[#This Row],Month],ExpensesTable[Date],"&lt;"&amp;EDATE([[#This Row],Month],1))</f>
        <v>0</v>
      </c>
      <c r="G96" s="6">
        <f>[[#This Row],Profit]-[[#This Row],Expenses]</f>
        <v>0</v>
      </c>
    </row>
    <row r="97" spans="1:7" ht="20" customHeight="1">
      <c r="A97" s="12"/>
      <c r="B97" s="11">
        <f>COUNTIFS(OrdersTable[Date],"&gt;="&amp;[[#This Row],Month],OrdersTable[Date],"&lt;"&amp;EDATE([[#This Row],Month],1))</f>
        <v>0</v>
      </c>
      <c r="C97" s="6">
        <f>SUMIFS(OrdersTable[Selling Price],OrdersTable[Date],"&gt;="&amp;[[#This Row],Month],OrdersTable[Date],"&lt;"&amp;EDATE([[#This Row],Month],1))</f>
        <v>0</v>
      </c>
      <c r="D97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7" s="6">
        <f>SUMIFS(OrdersTable[Profit],OrdersTable[Date],"&gt;="&amp;[[#This Row],Month],OrdersTable[Date],"&lt;"&amp;EDATE([[#This Row],Month],1))</f>
        <v>0</v>
      </c>
      <c r="F97" s="6">
        <f>SUMIFS(ExpensesTable[Amount],ExpensesTable[Date],"&gt;="&amp;[[#This Row],Month],ExpensesTable[Date],"&lt;"&amp;EDATE([[#This Row],Month],1))</f>
        <v>0</v>
      </c>
      <c r="G97" s="6">
        <f>[[#This Row],Profit]-[[#This Row],Expenses]</f>
        <v>0</v>
      </c>
    </row>
    <row r="98" spans="1:7" ht="20" customHeight="1">
      <c r="A98" s="12"/>
      <c r="B98" s="11">
        <f>COUNTIFS(OrdersTable[Date],"&gt;="&amp;[[#This Row],Month],OrdersTable[Date],"&lt;"&amp;EDATE([[#This Row],Month],1))</f>
        <v>0</v>
      </c>
      <c r="C98" s="6">
        <f>SUMIFS(OrdersTable[Selling Price],OrdersTable[Date],"&gt;="&amp;[[#This Row],Month],OrdersTable[Date],"&lt;"&amp;EDATE([[#This Row],Month],1))</f>
        <v>0</v>
      </c>
      <c r="D98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8" s="6">
        <f>SUMIFS(OrdersTable[Profit],OrdersTable[Date],"&gt;="&amp;[[#This Row],Month],OrdersTable[Date],"&lt;"&amp;EDATE([[#This Row],Month],1))</f>
        <v>0</v>
      </c>
      <c r="F98" s="6">
        <f>SUMIFS(ExpensesTable[Amount],ExpensesTable[Date],"&gt;="&amp;[[#This Row],Month],ExpensesTable[Date],"&lt;"&amp;EDATE([[#This Row],Month],1))</f>
        <v>0</v>
      </c>
      <c r="G98" s="6">
        <f>[[#This Row],Profit]-[[#This Row],Expenses]</f>
        <v>0</v>
      </c>
    </row>
    <row r="99" spans="1:7" ht="20" customHeight="1">
      <c r="A99" s="12"/>
      <c r="B99" s="11">
        <f>COUNTIFS(OrdersTable[Date],"&gt;="&amp;[[#This Row],Month],OrdersTable[Date],"&lt;"&amp;EDATE([[#This Row],Month],1))</f>
        <v>0</v>
      </c>
      <c r="C99" s="6">
        <f>SUMIFS(OrdersTable[Selling Price],OrdersTable[Date],"&gt;="&amp;[[#This Row],Month],OrdersTable[Date],"&lt;"&amp;EDATE([[#This Row],Month],1))</f>
        <v>0</v>
      </c>
      <c r="D99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99" s="6">
        <f>SUMIFS(OrdersTable[Profit],OrdersTable[Date],"&gt;="&amp;[[#This Row],Month],OrdersTable[Date],"&lt;"&amp;EDATE([[#This Row],Month],1))</f>
        <v>0</v>
      </c>
      <c r="F99" s="6">
        <f>SUMIFS(ExpensesTable[Amount],ExpensesTable[Date],"&gt;="&amp;[[#This Row],Month],ExpensesTable[Date],"&lt;"&amp;EDATE([[#This Row],Month],1))</f>
        <v>0</v>
      </c>
      <c r="G99" s="6">
        <f>[[#This Row],Profit]-[[#This Row],Expenses]</f>
        <v>0</v>
      </c>
    </row>
    <row r="100" spans="1:7" ht="20" customHeight="1">
      <c r="A100" s="12"/>
      <c r="B100" s="11">
        <f>COUNTIFS(OrdersTable[Date],"&gt;="&amp;[[#This Row],Month],OrdersTable[Date],"&lt;"&amp;EDATE([[#This Row],Month],1))</f>
        <v>0</v>
      </c>
      <c r="C100" s="6">
        <f>SUMIFS(OrdersTable[Selling Price],OrdersTable[Date],"&gt;="&amp;[[#This Row],Month],OrdersTable[Date],"&lt;"&amp;EDATE([[#This Row],Month],1))</f>
        <v>0</v>
      </c>
      <c r="D100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00" s="6">
        <f>SUMIFS(OrdersTable[Profit],OrdersTable[Date],"&gt;="&amp;[[#This Row],Month],OrdersTable[Date],"&lt;"&amp;EDATE([[#This Row],Month],1))</f>
        <v>0</v>
      </c>
      <c r="F100" s="6">
        <f>SUMIFS(ExpensesTable[Amount],ExpensesTable[Date],"&gt;="&amp;[[#This Row],Month],ExpensesTable[Date],"&lt;"&amp;EDATE([[#This Row],Month],1))</f>
        <v>0</v>
      </c>
      <c r="G100" s="6">
        <f>[[#This Row],Profit]-[[#This Row],Expenses]</f>
        <v>0</v>
      </c>
    </row>
    <row r="101" spans="1:7" ht="20" customHeight="1">
      <c r="A101" s="12"/>
      <c r="B101" s="11">
        <f>COUNTIFS(OrdersTable[Date],"&gt;="&amp;[[#This Row],Month],OrdersTable[Date],"&lt;"&amp;EDATE([[#This Row],Month],1))</f>
        <v>0</v>
      </c>
      <c r="C101" s="6">
        <f>SUMIFS(OrdersTable[Selling Price],OrdersTable[Date],"&gt;="&amp;[[#This Row],Month],OrdersTable[Date],"&lt;"&amp;EDATE([[#This Row],Month],1))</f>
        <v>0</v>
      </c>
      <c r="D101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01" s="6">
        <f>SUMIFS(OrdersTable[Profit],OrdersTable[Date],"&gt;="&amp;[[#This Row],Month],OrdersTable[Date],"&lt;"&amp;EDATE([[#This Row],Month],1))</f>
        <v>0</v>
      </c>
      <c r="F101" s="6">
        <f>SUMIFS(ExpensesTable[Amount],ExpensesTable[Date],"&gt;="&amp;[[#This Row],Month],ExpensesTable[Date],"&lt;"&amp;EDATE([[#This Row],Month],1))</f>
        <v>0</v>
      </c>
      <c r="G101" s="6">
        <f>[[#This Row],Profit]-[[#This Row],Expenses]</f>
        <v>0</v>
      </c>
    </row>
    <row r="102" spans="1:7" ht="20" customHeight="1">
      <c r="A102" s="12"/>
      <c r="B102" s="11">
        <f>COUNTIFS(OrdersTable[Date],"&gt;="&amp;[[#This Row],Month],OrdersTable[Date],"&lt;"&amp;EDATE([[#This Row],Month],1))</f>
        <v>0</v>
      </c>
      <c r="C102" s="6">
        <f>SUMIFS(OrdersTable[Selling Price],OrdersTable[Date],"&gt;="&amp;[[#This Row],Month],OrdersTable[Date],"&lt;"&amp;EDATE([[#This Row],Month],1))</f>
        <v>0</v>
      </c>
      <c r="D102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02" s="6">
        <f>SUMIFS(OrdersTable[Profit],OrdersTable[Date],"&gt;="&amp;[[#This Row],Month],OrdersTable[Date],"&lt;"&amp;EDATE([[#This Row],Month],1))</f>
        <v>0</v>
      </c>
      <c r="F102" s="6">
        <f>SUMIFS(ExpensesTable[Amount],ExpensesTable[Date],"&gt;="&amp;[[#This Row],Month],ExpensesTable[Date],"&lt;"&amp;EDATE([[#This Row],Month],1))</f>
        <v>0</v>
      </c>
      <c r="G102" s="6">
        <f>[[#This Row],Profit]-[[#This Row],Expenses]</f>
        <v>0</v>
      </c>
    </row>
    <row r="103" spans="1:7" ht="20" customHeight="1">
      <c r="A103" s="12"/>
      <c r="B103" s="11">
        <f>COUNTIFS(OrdersTable[Date],"&gt;="&amp;[[#This Row],Month],OrdersTable[Date],"&lt;"&amp;EDATE([[#This Row],Month],1))</f>
        <v>0</v>
      </c>
      <c r="C103" s="6">
        <f>SUMIFS(OrdersTable[Selling Price],OrdersTable[Date],"&gt;="&amp;[[#This Row],Month],OrdersTable[Date],"&lt;"&amp;EDATE([[#This Row],Month],1))</f>
        <v>0</v>
      </c>
      <c r="D103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03" s="6">
        <f>SUMIFS(OrdersTable[Profit],OrdersTable[Date],"&gt;="&amp;[[#This Row],Month],OrdersTable[Date],"&lt;"&amp;EDATE([[#This Row],Month],1))</f>
        <v>0</v>
      </c>
      <c r="F103" s="6">
        <f>SUMIFS(ExpensesTable[Amount],ExpensesTable[Date],"&gt;="&amp;[[#This Row],Month],ExpensesTable[Date],"&lt;"&amp;EDATE([[#This Row],Month],1))</f>
        <v>0</v>
      </c>
      <c r="G103" s="6">
        <f>[[#This Row],Profit]-[[#This Row],Expenses]</f>
        <v>0</v>
      </c>
    </row>
    <row r="104" spans="1:7" ht="20" customHeight="1">
      <c r="A104" s="12"/>
      <c r="B104" s="11">
        <f>COUNTIFS(OrdersTable[Date],"&gt;="&amp;[[#This Row],Month],OrdersTable[Date],"&lt;"&amp;EDATE([[#This Row],Month],1))</f>
        <v>0</v>
      </c>
      <c r="C104" s="6">
        <f>SUMIFS(OrdersTable[Selling Price],OrdersTable[Date],"&gt;="&amp;[[#This Row],Month],OrdersTable[Date],"&lt;"&amp;EDATE([[#This Row],Month],1))</f>
        <v>0</v>
      </c>
      <c r="D104" s="6">
        <f>SUMIFS(OrdersTable[Supplier Price],OrdersTable[Date],"&gt;="&amp;[[#This Row],Month],OrdersTable[Date],"&lt;"&amp;EDATE([[#This Row],Month],1))+SUMIFS(OrdersTable[Shipping Cost],OrdersTable[Date],"&gt;="&amp;[[#This Row],Month],OrdersTable[Date],"&lt;"&amp;EDATE([[#This Row],Month],1))</f>
        <v>0</v>
      </c>
      <c r="E104" s="6">
        <f>SUMIFS(OrdersTable[Profit],OrdersTable[Date],"&gt;="&amp;[[#This Row],Month],OrdersTable[Date],"&lt;"&amp;EDATE([[#This Row],Month],1))</f>
        <v>0</v>
      </c>
      <c r="F104" s="6">
        <f>SUMIFS(ExpensesTable[Amount],ExpensesTable[Date],"&gt;="&amp;[[#This Row],Month],ExpensesTable[Date],"&lt;"&amp;EDATE([[#This Row],Month],1))</f>
        <v>0</v>
      </c>
      <c r="G104" s="6">
        <f>[[#This Row],Profit]-[[#This Row],Expenses]</f>
        <v>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93241"/>
  </sheetPr>
  <dimension ref="A1:L26"/>
  <sheetViews>
    <sheetView showGridLines="0" workbookViewId="0"/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4.7109375" customWidth="1"/>
    <col min="5" max="5" width="18.7109375" customWidth="1"/>
    <col min="6" max="6" width="4.7109375" customWidth="1"/>
    <col min="7" max="12" width="15.7109375" customWidth="1"/>
  </cols>
  <sheetData>
    <row r="1" spans="1:12" ht="34" customHeight="1">
      <c r="A1" s="3" t="s">
        <v>235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4" t="s">
        <v>236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>
      <c r="A4" s="13">
        <f>COUNTIF(OrdersTable[Order ID],"&lt;&gt;")</f>
        <v>0</v>
      </c>
      <c r="B4" s="13"/>
      <c r="D4" s="10">
        <f>SUM(OrdersTable[Selling Price])</f>
        <v>0</v>
      </c>
      <c r="E4" s="10"/>
      <c r="G4" s="10">
        <f>SUM(OrdersTable[Supplier Price])+SUM(OrdersTable[Shipping Cost])</f>
        <v>0</v>
      </c>
      <c r="H4" s="10"/>
      <c r="J4" s="10">
        <f>SUM(OrdersTable[Profit])</f>
        <v>0</v>
      </c>
      <c r="K4" s="10"/>
    </row>
    <row r="7" spans="1:12">
      <c r="A7" s="13">
        <f>COUNTIF(OrdersTable[Order Status],"Pending")</f>
        <v>0</v>
      </c>
      <c r="B7" s="13"/>
      <c r="D7" s="13">
        <f>COUNTIF(OrdersTable[Order Status],"Delivered")</f>
        <v>0</v>
      </c>
      <c r="E7" s="13"/>
      <c r="G7" s="13">
        <f>COUNTIF(OrdersTable[Order Status],"Cancelled")</f>
        <v>0</v>
      </c>
      <c r="H7" s="13"/>
      <c r="J7" s="10">
        <f>IFERROR(AVERAGE(OrdersTable[Profit]),0)</f>
        <v>0</v>
      </c>
      <c r="K7" s="10"/>
    </row>
    <row r="10" spans="1:12">
      <c r="A10" s="14" t="s">
        <v>243</v>
      </c>
      <c r="B10" s="14"/>
      <c r="C10" s="14"/>
      <c r="D10" s="14"/>
      <c r="E10" s="14"/>
      <c r="F10" s="14"/>
    </row>
    <row r="11" spans="1:12">
      <c r="A11" s="1" t="s">
        <v>244</v>
      </c>
      <c r="B11" s="1" t="s">
        <v>35</v>
      </c>
    </row>
    <row r="12" spans="1:12">
      <c r="A12" s="2" t="s">
        <v>65</v>
      </c>
      <c r="B12" s="11">
        <f>COUNTIF(OrdersTable[Product Name],A12)</f>
        <v>0</v>
      </c>
    </row>
    <row r="13" spans="1:12">
      <c r="A13" s="2" t="s">
        <v>76</v>
      </c>
      <c r="B13" s="11">
        <f>COUNTIF(OrdersTable[Product Name],A13)</f>
        <v>0</v>
      </c>
    </row>
    <row r="14" spans="1:12">
      <c r="A14" s="2" t="s">
        <v>87</v>
      </c>
      <c r="B14" s="11">
        <f>COUNTIF(OrdersTable[Product Name],A14)</f>
        <v>0</v>
      </c>
    </row>
    <row r="15" spans="1:12">
      <c r="A15" s="2" t="s">
        <v>98</v>
      </c>
      <c r="B15" s="11">
        <f>COUNTIF(OrdersTable[Product Name],A15)</f>
        <v>0</v>
      </c>
    </row>
    <row r="16" spans="1:12">
      <c r="A16" s="2" t="s">
        <v>107</v>
      </c>
      <c r="B16" s="11">
        <f>COUNTIF(OrdersTable[Product Name],A16)</f>
        <v>0</v>
      </c>
    </row>
    <row r="19" spans="1:6">
      <c r="A19" s="14" t="s">
        <v>245</v>
      </c>
      <c r="B19" s="14"/>
      <c r="C19" s="14"/>
      <c r="D19" s="14"/>
      <c r="E19" s="14"/>
      <c r="F19" s="14"/>
    </row>
    <row r="20" spans="1:6">
      <c r="A20" s="9" t="s">
        <v>231</v>
      </c>
      <c r="B20" s="9" t="s">
        <v>234</v>
      </c>
    </row>
    <row r="21" spans="1:6">
      <c r="A21" s="12">
        <f>INDEX(MonthlySalesTable[Month],MATCH(MAX(MonthlySalesTable[Net Profit]),MonthlySalesTable[Net Profit],0))</f>
        <v>0</v>
      </c>
      <c r="B21" s="10">
        <f>MAX(MonthlySalesTable[Net Profit])</f>
        <v>0</v>
      </c>
    </row>
    <row r="24" spans="1:6">
      <c r="A24" s="14" t="s">
        <v>246</v>
      </c>
      <c r="B24" s="14"/>
      <c r="C24" s="14"/>
      <c r="D24" s="14"/>
      <c r="E24" s="14"/>
      <c r="F24" s="14"/>
    </row>
    <row r="25" spans="1:6">
      <c r="A25" s="15" t="s">
        <v>247</v>
      </c>
      <c r="B25" s="15"/>
      <c r="C25" s="15"/>
      <c r="D25" s="15"/>
      <c r="E25" s="15"/>
      <c r="F25" s="15"/>
    </row>
    <row r="26" spans="1:6">
      <c r="A26" s="15"/>
      <c r="B26" s="15"/>
      <c r="C26" s="15"/>
      <c r="D26" s="15"/>
      <c r="E26" s="15"/>
      <c r="F26" s="15"/>
    </row>
  </sheetData>
  <mergeCells count="14">
    <mergeCell ref="A1:L1"/>
    <mergeCell ref="A2:L2"/>
    <mergeCell ref="A4:B4"/>
    <mergeCell ref="D4:E4"/>
    <mergeCell ref="G4:H4"/>
    <mergeCell ref="J4:K4"/>
    <mergeCell ref="A7:B7"/>
    <mergeCell ref="D7:E7"/>
    <mergeCell ref="G7:H7"/>
    <mergeCell ref="J7:K7"/>
    <mergeCell ref="A10:F10"/>
    <mergeCell ref="A19:F19"/>
    <mergeCell ref="A24:F24"/>
    <mergeCell ref="A25:F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Lists</vt:lpstr>
      <vt:lpstr>Orders</vt:lpstr>
      <vt:lpstr>Products</vt:lpstr>
      <vt:lpstr>Expenses</vt:lpstr>
      <vt:lpstr>Customers</vt:lpstr>
      <vt:lpstr>Returns &amp; Refunds</vt:lpstr>
      <vt:lpstr>Monthly Sales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Women's Clothing Reselling &amp; Dropshipping Business Workbook</dc:title>
  <dc:subject>Orders, products, expenses, customers, returns and dashboard</dc:subject>
  <dc:creator>OpenCode</dc:creator>
  <dc:description>Beginner-friendly operating workbook with formulas and sample data.</dc:description>
  <cp:lastModifiedBy>OpenCode</cp:lastModifiedBy>
  <dcterms:created xsi:type="dcterms:W3CDTF">2026-07-31T20:35:36Z</dcterms:created>
  <dcterms:modified xsi:type="dcterms:W3CDTF">2026-07-31T20:35:36Z</dcterms:modified>
</cp:coreProperties>
</file>